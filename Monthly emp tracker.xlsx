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490DDE8-F23A-44A3-A4AF-0B53E7FBCF42}" xr6:coauthVersionLast="36" xr6:coauthVersionMax="36" xr10:uidLastSave="{00000000-0000-0000-0000-000000000000}"/>
  <bookViews>
    <workbookView xWindow="0" yWindow="0" windowWidth="16380" windowHeight="8190" tabRatio="500" activeTab="1" xr2:uid="{00000000-000D-0000-FFFF-FFFF00000000}"/>
  </bookViews>
  <sheets>
    <sheet name="Pay Rate" sheetId="10" r:id="rId1"/>
    <sheet name="Attandance Tracker" sheetId="5" r:id="rId2"/>
    <sheet name="Daily Entry" sheetId="6" r:id="rId3"/>
    <sheet name="Monthly Summary" sheetId="8" r:id="rId4"/>
    <sheet name="EmpList" sheetId="4" state="hidden" r:id="rId5"/>
  </sheets>
  <definedNames>
    <definedName name="_xlcn.WorksheetConnection_Monthlyemptracker.xlsxTable1" hidden="1">Table1[]</definedName>
    <definedName name="_xlcn.WorksheetConnection_Monthlyemptracker.xlsxTable2" hidden="1">Table2[]</definedName>
    <definedName name="_xlcn.WorksheetConnection_Monthlyemptracker.xlsxTable3" hidden="1">Table3[]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Monthly emp tracker.xlsx!Table3"/>
          <x15:modelTable id="Table2" name="Table2" connection="WorksheetConnection_Monthly emp tracker.xlsx!Table2"/>
          <x15:modelTable id="Table1" name="Table1" connection="WorksheetConnection_Monthly emp tracker.xlsx!Table1"/>
        </x15:modelTables>
        <x15:modelRelationships>
          <x15:modelRelationship fromTable="Table2" fromColumn="Emp ID" toTable="Table1" toColumn="EMPID"/>
          <x15:modelRelationship fromTable="Table2" fromColumn="Emp ID" toTable="Table3" toColumn="Emp ID"/>
        </x15:modelRelationships>
      </x15:dataModel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" i="6" l="1"/>
  <c r="P6" i="6"/>
  <c r="Q6" i="6"/>
  <c r="R6" i="6"/>
  <c r="S6" i="6"/>
  <c r="O7" i="6"/>
  <c r="P7" i="6"/>
  <c r="Q7" i="6"/>
  <c r="R7" i="6"/>
  <c r="S7" i="6"/>
  <c r="O8" i="6"/>
  <c r="P8" i="6"/>
  <c r="Q8" i="6"/>
  <c r="R8" i="6"/>
  <c r="S8" i="6"/>
  <c r="O9" i="6"/>
  <c r="P9" i="6"/>
  <c r="Q9" i="6"/>
  <c r="R9" i="6"/>
  <c r="S9" i="6"/>
  <c r="O10" i="6"/>
  <c r="P10" i="6"/>
  <c r="Q10" i="6"/>
  <c r="R10" i="6"/>
  <c r="S10" i="6"/>
  <c r="O11" i="6"/>
  <c r="P11" i="6"/>
  <c r="Q11" i="6"/>
  <c r="R11" i="6"/>
  <c r="S11" i="6"/>
  <c r="O12" i="6"/>
  <c r="P12" i="6"/>
  <c r="Q12" i="6"/>
  <c r="R12" i="6"/>
  <c r="S12" i="6"/>
  <c r="O13" i="6"/>
  <c r="P13" i="6"/>
  <c r="Q13" i="6"/>
  <c r="R13" i="6"/>
  <c r="S13" i="6"/>
  <c r="O14" i="6"/>
  <c r="P14" i="6"/>
  <c r="Q14" i="6"/>
  <c r="R14" i="6"/>
  <c r="S14" i="6"/>
  <c r="O15" i="6"/>
  <c r="P15" i="6"/>
  <c r="Q15" i="6"/>
  <c r="R15" i="6"/>
  <c r="S15" i="6"/>
  <c r="O16" i="6"/>
  <c r="P16" i="6"/>
  <c r="Q16" i="6"/>
  <c r="R16" i="6"/>
  <c r="S16" i="6"/>
  <c r="O17" i="6"/>
  <c r="P17" i="6"/>
  <c r="Q17" i="6"/>
  <c r="R17" i="6"/>
  <c r="S17" i="6"/>
  <c r="O18" i="6"/>
  <c r="P18" i="6"/>
  <c r="Q18" i="6"/>
  <c r="R18" i="6"/>
  <c r="S18" i="6"/>
  <c r="O19" i="6"/>
  <c r="P19" i="6"/>
  <c r="Q19" i="6"/>
  <c r="R19" i="6"/>
  <c r="S19" i="6"/>
  <c r="O20" i="6"/>
  <c r="P20" i="6"/>
  <c r="Q20" i="6"/>
  <c r="R20" i="6"/>
  <c r="S20" i="6"/>
  <c r="O21" i="6"/>
  <c r="P21" i="6"/>
  <c r="Q21" i="6"/>
  <c r="R21" i="6"/>
  <c r="S21" i="6"/>
  <c r="O22" i="6"/>
  <c r="P22" i="6"/>
  <c r="Q22" i="6"/>
  <c r="R22" i="6"/>
  <c r="S22" i="6"/>
  <c r="K23" i="6"/>
  <c r="L23" i="6"/>
  <c r="M23" i="6"/>
  <c r="N23" i="6"/>
  <c r="O23" i="6"/>
  <c r="P23" i="6"/>
  <c r="Q23" i="6"/>
  <c r="R23" i="6"/>
  <c r="S23" i="6"/>
  <c r="K24" i="6"/>
  <c r="L24" i="6"/>
  <c r="M24" i="6"/>
  <c r="N24" i="6"/>
  <c r="O24" i="6"/>
  <c r="P24" i="6"/>
  <c r="Q24" i="6"/>
  <c r="R24" i="6"/>
  <c r="S24" i="6"/>
  <c r="K25" i="6"/>
  <c r="L25" i="6"/>
  <c r="M25" i="6"/>
  <c r="N25" i="6"/>
  <c r="O25" i="6"/>
  <c r="P25" i="6"/>
  <c r="Q25" i="6"/>
  <c r="R25" i="6"/>
  <c r="S25" i="6"/>
  <c r="K26" i="6"/>
  <c r="L26" i="6"/>
  <c r="M26" i="6"/>
  <c r="N26" i="6"/>
  <c r="O26" i="6"/>
  <c r="P26" i="6"/>
  <c r="Q26" i="6"/>
  <c r="R26" i="6"/>
  <c r="S26" i="6"/>
  <c r="K27" i="6"/>
  <c r="L27" i="6"/>
  <c r="M27" i="6"/>
  <c r="N27" i="6"/>
  <c r="O27" i="6"/>
  <c r="P27" i="6"/>
  <c r="Q27" i="6"/>
  <c r="R27" i="6"/>
  <c r="S27" i="6"/>
  <c r="K28" i="6"/>
  <c r="L28" i="6"/>
  <c r="M28" i="6"/>
  <c r="N28" i="6"/>
  <c r="O28" i="6"/>
  <c r="P28" i="6"/>
  <c r="Q28" i="6"/>
  <c r="R28" i="6"/>
  <c r="S28" i="6"/>
  <c r="K29" i="6"/>
  <c r="L29" i="6"/>
  <c r="M29" i="6"/>
  <c r="N29" i="6"/>
  <c r="O29" i="6"/>
  <c r="P29" i="6"/>
  <c r="Q29" i="6"/>
  <c r="R29" i="6"/>
  <c r="S29" i="6"/>
  <c r="C321" i="6" l="1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G590" i="6"/>
  <c r="G673" i="6"/>
  <c r="G859" i="6"/>
  <c r="H458" i="6"/>
  <c r="H466" i="6"/>
  <c r="H484" i="6"/>
  <c r="H520" i="6"/>
  <c r="H557" i="6"/>
  <c r="H601" i="6"/>
  <c r="H689" i="6"/>
  <c r="H697" i="6"/>
  <c r="H730" i="6"/>
  <c r="H746" i="6"/>
  <c r="H820" i="6"/>
  <c r="H828" i="6"/>
  <c r="H843" i="6"/>
  <c r="I283" i="6"/>
  <c r="G283" i="6" s="1"/>
  <c r="I284" i="6"/>
  <c r="I285" i="6"/>
  <c r="I286" i="6"/>
  <c r="I287" i="6"/>
  <c r="I288" i="6"/>
  <c r="G288" i="6" s="1"/>
  <c r="I289" i="6"/>
  <c r="I290" i="6"/>
  <c r="H290" i="6" s="1"/>
  <c r="I291" i="6"/>
  <c r="I292" i="6"/>
  <c r="H292" i="6" s="1"/>
  <c r="I293" i="6"/>
  <c r="I294" i="6"/>
  <c r="I295" i="6"/>
  <c r="I296" i="6"/>
  <c r="G296" i="6" s="1"/>
  <c r="I297" i="6"/>
  <c r="I298" i="6"/>
  <c r="H298" i="6" s="1"/>
  <c r="I299" i="6"/>
  <c r="I300" i="6"/>
  <c r="I301" i="6"/>
  <c r="I302" i="6"/>
  <c r="I303" i="6"/>
  <c r="I304" i="6"/>
  <c r="G304" i="6" s="1"/>
  <c r="I305" i="6"/>
  <c r="I306" i="6"/>
  <c r="H306" i="6" s="1"/>
  <c r="I307" i="6"/>
  <c r="G307" i="6" s="1"/>
  <c r="I308" i="6"/>
  <c r="G308" i="6" s="1"/>
  <c r="I309" i="6"/>
  <c r="I310" i="6"/>
  <c r="I311" i="6"/>
  <c r="H311" i="6" s="1"/>
  <c r="I312" i="6"/>
  <c r="G312" i="6" s="1"/>
  <c r="I313" i="6"/>
  <c r="I314" i="6"/>
  <c r="H314" i="6" s="1"/>
  <c r="I315" i="6"/>
  <c r="G315" i="6" s="1"/>
  <c r="I316" i="6"/>
  <c r="I317" i="6"/>
  <c r="G317" i="6" s="1"/>
  <c r="I318" i="6"/>
  <c r="I319" i="6"/>
  <c r="H319" i="6" s="1"/>
  <c r="I320" i="6"/>
  <c r="G320" i="6" s="1"/>
  <c r="I321" i="6"/>
  <c r="G321" i="6" s="1"/>
  <c r="I322" i="6"/>
  <c r="G322" i="6" s="1"/>
  <c r="I323" i="6"/>
  <c r="G323" i="6" s="1"/>
  <c r="I324" i="6"/>
  <c r="G324" i="6" s="1"/>
  <c r="I325" i="6"/>
  <c r="G325" i="6" s="1"/>
  <c r="I326" i="6"/>
  <c r="G326" i="6" s="1"/>
  <c r="I327" i="6"/>
  <c r="G327" i="6" s="1"/>
  <c r="I328" i="6"/>
  <c r="G328" i="6" s="1"/>
  <c r="I329" i="6"/>
  <c r="G329" i="6" s="1"/>
  <c r="I330" i="6"/>
  <c r="G330" i="6" s="1"/>
  <c r="I331" i="6"/>
  <c r="G331" i="6" s="1"/>
  <c r="I332" i="6"/>
  <c r="G332" i="6" s="1"/>
  <c r="I333" i="6"/>
  <c r="G333" i="6" s="1"/>
  <c r="I334" i="6"/>
  <c r="G334" i="6" s="1"/>
  <c r="I335" i="6"/>
  <c r="G335" i="6" s="1"/>
  <c r="I336" i="6"/>
  <c r="G336" i="6" s="1"/>
  <c r="I337" i="6"/>
  <c r="G337" i="6" s="1"/>
  <c r="I338" i="6"/>
  <c r="G338" i="6" s="1"/>
  <c r="I339" i="6"/>
  <c r="G339" i="6" s="1"/>
  <c r="I340" i="6"/>
  <c r="G340" i="6" s="1"/>
  <c r="I341" i="6"/>
  <c r="G341" i="6" s="1"/>
  <c r="I342" i="6"/>
  <c r="G342" i="6" s="1"/>
  <c r="I343" i="6"/>
  <c r="H343" i="6" s="1"/>
  <c r="I344" i="6"/>
  <c r="G344" i="6" s="1"/>
  <c r="I345" i="6"/>
  <c r="H345" i="6" s="1"/>
  <c r="I346" i="6"/>
  <c r="H346" i="6" s="1"/>
  <c r="I347" i="6"/>
  <c r="H347" i="6" s="1"/>
  <c r="I348" i="6"/>
  <c r="H348" i="6" s="1"/>
  <c r="I349" i="6"/>
  <c r="H349" i="6" s="1"/>
  <c r="I350" i="6"/>
  <c r="G350" i="6" s="1"/>
  <c r="I351" i="6"/>
  <c r="G351" i="6" s="1"/>
  <c r="I352" i="6"/>
  <c r="G352" i="6" s="1"/>
  <c r="I353" i="6"/>
  <c r="G353" i="6" s="1"/>
  <c r="I354" i="6"/>
  <c r="G354" i="6" s="1"/>
  <c r="I355" i="6"/>
  <c r="H355" i="6" s="1"/>
  <c r="I356" i="6"/>
  <c r="H356" i="6" s="1"/>
  <c r="I357" i="6"/>
  <c r="H357" i="6" s="1"/>
  <c r="I358" i="6"/>
  <c r="G358" i="6" s="1"/>
  <c r="I359" i="6"/>
  <c r="G359" i="6" s="1"/>
  <c r="I360" i="6"/>
  <c r="G360" i="6" s="1"/>
  <c r="I361" i="6"/>
  <c r="G361" i="6" s="1"/>
  <c r="I362" i="6"/>
  <c r="G362" i="6" s="1"/>
  <c r="I363" i="6"/>
  <c r="H363" i="6" s="1"/>
  <c r="I364" i="6"/>
  <c r="H364" i="6" s="1"/>
  <c r="I365" i="6"/>
  <c r="H365" i="6" s="1"/>
  <c r="I366" i="6"/>
  <c r="G366" i="6" s="1"/>
  <c r="I367" i="6"/>
  <c r="G367" i="6" s="1"/>
  <c r="I368" i="6"/>
  <c r="G368" i="6" s="1"/>
  <c r="I369" i="6"/>
  <c r="G369" i="6" s="1"/>
  <c r="I370" i="6"/>
  <c r="G370" i="6" s="1"/>
  <c r="I371" i="6"/>
  <c r="H371" i="6" s="1"/>
  <c r="I372" i="6"/>
  <c r="H372" i="6" s="1"/>
  <c r="I373" i="6"/>
  <c r="H373" i="6" s="1"/>
  <c r="I374" i="6"/>
  <c r="G374" i="6" s="1"/>
  <c r="I375" i="6"/>
  <c r="G375" i="6" s="1"/>
  <c r="I376" i="6"/>
  <c r="G376" i="6" s="1"/>
  <c r="I377" i="6"/>
  <c r="H377" i="6" s="1"/>
  <c r="I378" i="6"/>
  <c r="H378" i="6" s="1"/>
  <c r="I379" i="6"/>
  <c r="H379" i="6" s="1"/>
  <c r="I380" i="6"/>
  <c r="G380" i="6" s="1"/>
  <c r="I381" i="6"/>
  <c r="G381" i="6" s="1"/>
  <c r="I382" i="6"/>
  <c r="G382" i="6" s="1"/>
  <c r="I383" i="6"/>
  <c r="G383" i="6" s="1"/>
  <c r="I384" i="6"/>
  <c r="G384" i="6" s="1"/>
  <c r="I385" i="6"/>
  <c r="H385" i="6" s="1"/>
  <c r="I386" i="6"/>
  <c r="H386" i="6" s="1"/>
  <c r="I387" i="6"/>
  <c r="H387" i="6" s="1"/>
  <c r="I388" i="6"/>
  <c r="G388" i="6" s="1"/>
  <c r="I389" i="6"/>
  <c r="G389" i="6" s="1"/>
  <c r="I390" i="6"/>
  <c r="G390" i="6" s="1"/>
  <c r="I391" i="6"/>
  <c r="G391" i="6" s="1"/>
  <c r="I392" i="6"/>
  <c r="G392" i="6" s="1"/>
  <c r="I393" i="6"/>
  <c r="H393" i="6" s="1"/>
  <c r="I394" i="6"/>
  <c r="H394" i="6" s="1"/>
  <c r="I395" i="6"/>
  <c r="H395" i="6" s="1"/>
  <c r="I396" i="6"/>
  <c r="G396" i="6" s="1"/>
  <c r="I397" i="6"/>
  <c r="G397" i="6" s="1"/>
  <c r="I398" i="6"/>
  <c r="G398" i="6" s="1"/>
  <c r="I399" i="6"/>
  <c r="G399" i="6" s="1"/>
  <c r="I400" i="6"/>
  <c r="G400" i="6" s="1"/>
  <c r="I401" i="6"/>
  <c r="H401" i="6" s="1"/>
  <c r="I402" i="6"/>
  <c r="H402" i="6" s="1"/>
  <c r="I403" i="6"/>
  <c r="H403" i="6" s="1"/>
  <c r="I404" i="6"/>
  <c r="G404" i="6" s="1"/>
  <c r="I405" i="6"/>
  <c r="H405" i="6" s="1"/>
  <c r="I406" i="6"/>
  <c r="H406" i="6" s="1"/>
  <c r="I407" i="6"/>
  <c r="H407" i="6" s="1"/>
  <c r="I408" i="6"/>
  <c r="G408" i="6" s="1"/>
  <c r="I409" i="6"/>
  <c r="G409" i="6" s="1"/>
  <c r="I410" i="6"/>
  <c r="G410" i="6" s="1"/>
  <c r="I411" i="6"/>
  <c r="G411" i="6" s="1"/>
  <c r="I412" i="6"/>
  <c r="G412" i="6" s="1"/>
  <c r="I413" i="6"/>
  <c r="G413" i="6" s="1"/>
  <c r="I414" i="6"/>
  <c r="G414" i="6" s="1"/>
  <c r="I415" i="6"/>
  <c r="G415" i="6" s="1"/>
  <c r="I416" i="6"/>
  <c r="G416" i="6" s="1"/>
  <c r="I417" i="6"/>
  <c r="G417" i="6" s="1"/>
  <c r="I418" i="6"/>
  <c r="G418" i="6" s="1"/>
  <c r="I419" i="6"/>
  <c r="G419" i="6" s="1"/>
  <c r="I420" i="6"/>
  <c r="G420" i="6" s="1"/>
  <c r="I421" i="6"/>
  <c r="G421" i="6" s="1"/>
  <c r="I422" i="6"/>
  <c r="G422" i="6" s="1"/>
  <c r="I423" i="6"/>
  <c r="G423" i="6" s="1"/>
  <c r="I424" i="6"/>
  <c r="G424" i="6" s="1"/>
  <c r="I425" i="6"/>
  <c r="G425" i="6" s="1"/>
  <c r="I426" i="6"/>
  <c r="G426" i="6" s="1"/>
  <c r="I427" i="6"/>
  <c r="G427" i="6" s="1"/>
  <c r="I428" i="6"/>
  <c r="G428" i="6" s="1"/>
  <c r="I429" i="6"/>
  <c r="G429" i="6" s="1"/>
  <c r="I430" i="6"/>
  <c r="G430" i="6" s="1"/>
  <c r="I431" i="6"/>
  <c r="G431" i="6" s="1"/>
  <c r="I432" i="6"/>
  <c r="G432" i="6" s="1"/>
  <c r="I433" i="6"/>
  <c r="G433" i="6" s="1"/>
  <c r="I434" i="6"/>
  <c r="G434" i="6" s="1"/>
  <c r="I435" i="6"/>
  <c r="G435" i="6" s="1"/>
  <c r="I436" i="6"/>
  <c r="G436" i="6" s="1"/>
  <c r="I437" i="6"/>
  <c r="G437" i="6" s="1"/>
  <c r="I438" i="6"/>
  <c r="G438" i="6" s="1"/>
  <c r="I439" i="6"/>
  <c r="G439" i="6" s="1"/>
  <c r="I440" i="6"/>
  <c r="G440" i="6" s="1"/>
  <c r="I441" i="6"/>
  <c r="G441" i="6" s="1"/>
  <c r="I442" i="6"/>
  <c r="G442" i="6" s="1"/>
  <c r="I443" i="6"/>
  <c r="G443" i="6" s="1"/>
  <c r="I444" i="6"/>
  <c r="G444" i="6" s="1"/>
  <c r="I445" i="6"/>
  <c r="H445" i="6" s="1"/>
  <c r="I446" i="6"/>
  <c r="H446" i="6" s="1"/>
  <c r="I447" i="6"/>
  <c r="G447" i="6" s="1"/>
  <c r="I448" i="6"/>
  <c r="G448" i="6" s="1"/>
  <c r="I449" i="6"/>
  <c r="G449" i="6" s="1"/>
  <c r="I450" i="6"/>
  <c r="G450" i="6" s="1"/>
  <c r="I451" i="6"/>
  <c r="G451" i="6" s="1"/>
  <c r="I452" i="6"/>
  <c r="G452" i="6" s="1"/>
  <c r="I453" i="6"/>
  <c r="H453" i="6" s="1"/>
  <c r="I454" i="6"/>
  <c r="H454" i="6" s="1"/>
  <c r="I455" i="6"/>
  <c r="G455" i="6" s="1"/>
  <c r="I456" i="6"/>
  <c r="G456" i="6" s="1"/>
  <c r="I457" i="6"/>
  <c r="G457" i="6" s="1"/>
  <c r="I458" i="6"/>
  <c r="G458" i="6" s="1"/>
  <c r="I459" i="6"/>
  <c r="G459" i="6" s="1"/>
  <c r="I460" i="6"/>
  <c r="G460" i="6" s="1"/>
  <c r="I461" i="6"/>
  <c r="H461" i="6" s="1"/>
  <c r="I462" i="6"/>
  <c r="H462" i="6" s="1"/>
  <c r="I463" i="6"/>
  <c r="G463" i="6" s="1"/>
  <c r="I464" i="6"/>
  <c r="G464" i="6" s="1"/>
  <c r="I465" i="6"/>
  <c r="G465" i="6" s="1"/>
  <c r="I466" i="6"/>
  <c r="G466" i="6" s="1"/>
  <c r="I467" i="6"/>
  <c r="G467" i="6" s="1"/>
  <c r="I468" i="6"/>
  <c r="G468" i="6" s="1"/>
  <c r="I469" i="6"/>
  <c r="G469" i="6" s="1"/>
  <c r="I470" i="6"/>
  <c r="G470" i="6" s="1"/>
  <c r="I471" i="6"/>
  <c r="H471" i="6" s="1"/>
  <c r="I472" i="6"/>
  <c r="H472" i="6" s="1"/>
  <c r="I473" i="6"/>
  <c r="H473" i="6" s="1"/>
  <c r="I474" i="6"/>
  <c r="H474" i="6" s="1"/>
  <c r="I475" i="6"/>
  <c r="H475" i="6" s="1"/>
  <c r="I476" i="6"/>
  <c r="G476" i="6" s="1"/>
  <c r="I477" i="6"/>
  <c r="G477" i="6" s="1"/>
  <c r="I478" i="6"/>
  <c r="G478" i="6" s="1"/>
  <c r="I479" i="6"/>
  <c r="H479" i="6" s="1"/>
  <c r="I480" i="6"/>
  <c r="H480" i="6" s="1"/>
  <c r="I481" i="6"/>
  <c r="H481" i="6" s="1"/>
  <c r="I482" i="6"/>
  <c r="H482" i="6" s="1"/>
  <c r="I483" i="6"/>
  <c r="H483" i="6" s="1"/>
  <c r="I484" i="6"/>
  <c r="G484" i="6" s="1"/>
  <c r="I485" i="6"/>
  <c r="G485" i="6" s="1"/>
  <c r="I486" i="6"/>
  <c r="G486" i="6" s="1"/>
  <c r="I487" i="6"/>
  <c r="H487" i="6" s="1"/>
  <c r="I488" i="6"/>
  <c r="H488" i="6" s="1"/>
  <c r="I489" i="6"/>
  <c r="H489" i="6" s="1"/>
  <c r="I490" i="6"/>
  <c r="H490" i="6" s="1"/>
  <c r="I491" i="6"/>
  <c r="H491" i="6" s="1"/>
  <c r="I492" i="6"/>
  <c r="H492" i="6" s="1"/>
  <c r="I493" i="6"/>
  <c r="G493" i="6" s="1"/>
  <c r="I494" i="6"/>
  <c r="G494" i="6" s="1"/>
  <c r="I495" i="6"/>
  <c r="H495" i="6" s="1"/>
  <c r="I496" i="6"/>
  <c r="H496" i="6" s="1"/>
  <c r="I497" i="6"/>
  <c r="H497" i="6" s="1"/>
  <c r="I498" i="6"/>
  <c r="H498" i="6" s="1"/>
  <c r="I499" i="6"/>
  <c r="H499" i="6" s="1"/>
  <c r="I500" i="6"/>
  <c r="H500" i="6" s="1"/>
  <c r="I501" i="6"/>
  <c r="G501" i="6" s="1"/>
  <c r="I502" i="6"/>
  <c r="G502" i="6" s="1"/>
  <c r="I503" i="6"/>
  <c r="G503" i="6" s="1"/>
  <c r="I504" i="6"/>
  <c r="G504" i="6" s="1"/>
  <c r="I505" i="6"/>
  <c r="G505" i="6" s="1"/>
  <c r="I506" i="6"/>
  <c r="G506" i="6" s="1"/>
  <c r="I507" i="6"/>
  <c r="H507" i="6" s="1"/>
  <c r="I508" i="6"/>
  <c r="H508" i="6" s="1"/>
  <c r="I509" i="6"/>
  <c r="G509" i="6" s="1"/>
  <c r="I510" i="6"/>
  <c r="G510" i="6" s="1"/>
  <c r="I511" i="6"/>
  <c r="G511" i="6" s="1"/>
  <c r="I512" i="6"/>
  <c r="G512" i="6" s="1"/>
  <c r="I513" i="6"/>
  <c r="G513" i="6" s="1"/>
  <c r="I514" i="6"/>
  <c r="G514" i="6" s="1"/>
  <c r="I515" i="6"/>
  <c r="H515" i="6" s="1"/>
  <c r="I516" i="6"/>
  <c r="H516" i="6" s="1"/>
  <c r="I517" i="6"/>
  <c r="G517" i="6" s="1"/>
  <c r="I518" i="6"/>
  <c r="G518" i="6" s="1"/>
  <c r="I519" i="6"/>
  <c r="G519" i="6" s="1"/>
  <c r="I520" i="6"/>
  <c r="G520" i="6" s="1"/>
  <c r="I521" i="6"/>
  <c r="G521" i="6" s="1"/>
  <c r="I522" i="6"/>
  <c r="G522" i="6" s="1"/>
  <c r="I523" i="6"/>
  <c r="H523" i="6" s="1"/>
  <c r="I524" i="6"/>
  <c r="H524" i="6" s="1"/>
  <c r="I525" i="6"/>
  <c r="G525" i="6" s="1"/>
  <c r="I526" i="6"/>
  <c r="G526" i="6" s="1"/>
  <c r="I527" i="6"/>
  <c r="G527" i="6" s="1"/>
  <c r="I528" i="6"/>
  <c r="G528" i="6" s="1"/>
  <c r="I529" i="6"/>
  <c r="G529" i="6" s="1"/>
  <c r="I530" i="6"/>
  <c r="G530" i="6" s="1"/>
  <c r="I531" i="6"/>
  <c r="H531" i="6" s="1"/>
  <c r="I532" i="6"/>
  <c r="G532" i="6" s="1"/>
  <c r="I533" i="6"/>
  <c r="G533" i="6" s="1"/>
  <c r="I534" i="6"/>
  <c r="G534" i="6" s="1"/>
  <c r="I535" i="6"/>
  <c r="G535" i="6" s="1"/>
  <c r="I536" i="6"/>
  <c r="G536" i="6" s="1"/>
  <c r="I537" i="6"/>
  <c r="H537" i="6" s="1"/>
  <c r="I538" i="6"/>
  <c r="H538" i="6" s="1"/>
  <c r="I539" i="6"/>
  <c r="H539" i="6" s="1"/>
  <c r="I540" i="6"/>
  <c r="G540" i="6" s="1"/>
  <c r="I541" i="6"/>
  <c r="G541" i="6" s="1"/>
  <c r="I542" i="6"/>
  <c r="G542" i="6" s="1"/>
  <c r="I543" i="6"/>
  <c r="G543" i="6" s="1"/>
  <c r="I544" i="6"/>
  <c r="G544" i="6" s="1"/>
  <c r="I545" i="6"/>
  <c r="H545" i="6" s="1"/>
  <c r="I546" i="6"/>
  <c r="H546" i="6" s="1"/>
  <c r="I547" i="6"/>
  <c r="H547" i="6" s="1"/>
  <c r="I548" i="6"/>
  <c r="G548" i="6" s="1"/>
  <c r="I549" i="6"/>
  <c r="G549" i="6" s="1"/>
  <c r="I550" i="6"/>
  <c r="G550" i="6" s="1"/>
  <c r="I551" i="6"/>
  <c r="G551" i="6" s="1"/>
  <c r="I552" i="6"/>
  <c r="G552" i="6" s="1"/>
  <c r="I553" i="6"/>
  <c r="H553" i="6" s="1"/>
  <c r="I554" i="6"/>
  <c r="H554" i="6" s="1"/>
  <c r="I555" i="6"/>
  <c r="H555" i="6" s="1"/>
  <c r="I556" i="6"/>
  <c r="G556" i="6" s="1"/>
  <c r="I557" i="6"/>
  <c r="G557" i="6" s="1"/>
  <c r="I558" i="6"/>
  <c r="G558" i="6" s="1"/>
  <c r="I559" i="6"/>
  <c r="G559" i="6" s="1"/>
  <c r="I560" i="6"/>
  <c r="G560" i="6" s="1"/>
  <c r="I561" i="6"/>
  <c r="H561" i="6" s="1"/>
  <c r="I562" i="6"/>
  <c r="G562" i="6" s="1"/>
  <c r="I563" i="6"/>
  <c r="H563" i="6" s="1"/>
  <c r="I564" i="6"/>
  <c r="H564" i="6" s="1"/>
  <c r="I565" i="6"/>
  <c r="H565" i="6" s="1"/>
  <c r="I566" i="6"/>
  <c r="H566" i="6" s="1"/>
  <c r="I567" i="6"/>
  <c r="G567" i="6" s="1"/>
  <c r="I568" i="6"/>
  <c r="G568" i="6" s="1"/>
  <c r="I569" i="6"/>
  <c r="G569" i="6" s="1"/>
  <c r="I570" i="6"/>
  <c r="G570" i="6" s="1"/>
  <c r="I571" i="6"/>
  <c r="H571" i="6" s="1"/>
  <c r="I572" i="6"/>
  <c r="H572" i="6" s="1"/>
  <c r="I573" i="6"/>
  <c r="H573" i="6" s="1"/>
  <c r="I574" i="6"/>
  <c r="H574" i="6" s="1"/>
  <c r="I575" i="6"/>
  <c r="G575" i="6" s="1"/>
  <c r="I576" i="6"/>
  <c r="G576" i="6" s="1"/>
  <c r="I577" i="6"/>
  <c r="G577" i="6" s="1"/>
  <c r="I578" i="6"/>
  <c r="G578" i="6" s="1"/>
  <c r="I579" i="6"/>
  <c r="H579" i="6" s="1"/>
  <c r="I580" i="6"/>
  <c r="H580" i="6" s="1"/>
  <c r="I581" i="6"/>
  <c r="H581" i="6" s="1"/>
  <c r="I582" i="6"/>
  <c r="H582" i="6" s="1"/>
  <c r="I583" i="6"/>
  <c r="G583" i="6" s="1"/>
  <c r="I584" i="6"/>
  <c r="G584" i="6" s="1"/>
  <c r="I585" i="6"/>
  <c r="G585" i="6" s="1"/>
  <c r="I586" i="6"/>
  <c r="G586" i="6" s="1"/>
  <c r="I587" i="6"/>
  <c r="H587" i="6" s="1"/>
  <c r="I588" i="6"/>
  <c r="H588" i="6" s="1"/>
  <c r="I589" i="6"/>
  <c r="H589" i="6" s="1"/>
  <c r="I590" i="6"/>
  <c r="H590" i="6" s="1"/>
  <c r="I591" i="6"/>
  <c r="G591" i="6" s="1"/>
  <c r="I592" i="6"/>
  <c r="G592" i="6" s="1"/>
  <c r="I593" i="6"/>
  <c r="G593" i="6" s="1"/>
  <c r="I594" i="6"/>
  <c r="H594" i="6" s="1"/>
  <c r="I595" i="6"/>
  <c r="H595" i="6" s="1"/>
  <c r="I596" i="6"/>
  <c r="H596" i="6" s="1"/>
  <c r="I597" i="6"/>
  <c r="H597" i="6" s="1"/>
  <c r="I598" i="6"/>
  <c r="G598" i="6" s="1"/>
  <c r="I599" i="6"/>
  <c r="G599" i="6" s="1"/>
  <c r="I600" i="6"/>
  <c r="G600" i="6" s="1"/>
  <c r="I601" i="6"/>
  <c r="G601" i="6" s="1"/>
  <c r="I602" i="6"/>
  <c r="H602" i="6" s="1"/>
  <c r="I603" i="6"/>
  <c r="H603" i="6" s="1"/>
  <c r="I604" i="6"/>
  <c r="H604" i="6" s="1"/>
  <c r="I605" i="6"/>
  <c r="H605" i="6" s="1"/>
  <c r="I606" i="6"/>
  <c r="G606" i="6" s="1"/>
  <c r="I607" i="6"/>
  <c r="G607" i="6" s="1"/>
  <c r="I608" i="6"/>
  <c r="G608" i="6" s="1"/>
  <c r="I609" i="6"/>
  <c r="G609" i="6" s="1"/>
  <c r="I610" i="6"/>
  <c r="H610" i="6" s="1"/>
  <c r="I611" i="6"/>
  <c r="H611" i="6" s="1"/>
  <c r="I612" i="6"/>
  <c r="H612" i="6" s="1"/>
  <c r="I613" i="6"/>
  <c r="H613" i="6" s="1"/>
  <c r="I614" i="6"/>
  <c r="G614" i="6" s="1"/>
  <c r="I615" i="6"/>
  <c r="G615" i="6" s="1"/>
  <c r="I616" i="6"/>
  <c r="G616" i="6" s="1"/>
  <c r="I617" i="6"/>
  <c r="G617" i="6" s="1"/>
  <c r="I618" i="6"/>
  <c r="H618" i="6" s="1"/>
  <c r="I619" i="6"/>
  <c r="H619" i="6" s="1"/>
  <c r="I620" i="6"/>
  <c r="H620" i="6" s="1"/>
  <c r="I621" i="6"/>
  <c r="H621" i="6" s="1"/>
  <c r="I622" i="6"/>
  <c r="G622" i="6" s="1"/>
  <c r="I623" i="6"/>
  <c r="G623" i="6" s="1"/>
  <c r="I624" i="6"/>
  <c r="H624" i="6" s="1"/>
  <c r="I625" i="6"/>
  <c r="G625" i="6" s="1"/>
  <c r="I626" i="6"/>
  <c r="G626" i="6" s="1"/>
  <c r="I627" i="6"/>
  <c r="G627" i="6" s="1"/>
  <c r="I628" i="6"/>
  <c r="G628" i="6" s="1"/>
  <c r="I629" i="6"/>
  <c r="G629" i="6" s="1"/>
  <c r="I630" i="6"/>
  <c r="G630" i="6" s="1"/>
  <c r="I631" i="6"/>
  <c r="G631" i="6" s="1"/>
  <c r="I632" i="6"/>
  <c r="H632" i="6" s="1"/>
  <c r="I633" i="6"/>
  <c r="G633" i="6" s="1"/>
  <c r="I634" i="6"/>
  <c r="G634" i="6" s="1"/>
  <c r="I635" i="6"/>
  <c r="G635" i="6" s="1"/>
  <c r="I636" i="6"/>
  <c r="G636" i="6" s="1"/>
  <c r="I637" i="6"/>
  <c r="G637" i="6" s="1"/>
  <c r="I638" i="6"/>
  <c r="G638" i="6" s="1"/>
  <c r="I639" i="6"/>
  <c r="G639" i="6" s="1"/>
  <c r="I640" i="6"/>
  <c r="H640" i="6" s="1"/>
  <c r="I641" i="6"/>
  <c r="G641" i="6" s="1"/>
  <c r="I642" i="6"/>
  <c r="G642" i="6" s="1"/>
  <c r="I643" i="6"/>
  <c r="G643" i="6" s="1"/>
  <c r="I644" i="6"/>
  <c r="G644" i="6" s="1"/>
  <c r="I645" i="6"/>
  <c r="G645" i="6" s="1"/>
  <c r="I646" i="6"/>
  <c r="G646" i="6" s="1"/>
  <c r="I647" i="6"/>
  <c r="G647" i="6" s="1"/>
  <c r="I648" i="6"/>
  <c r="H648" i="6" s="1"/>
  <c r="I649" i="6"/>
  <c r="G649" i="6" s="1"/>
  <c r="I650" i="6"/>
  <c r="G650" i="6" s="1"/>
  <c r="I651" i="6"/>
  <c r="G651" i="6" s="1"/>
  <c r="I652" i="6"/>
  <c r="G652" i="6" s="1"/>
  <c r="I653" i="6"/>
  <c r="G653" i="6" s="1"/>
  <c r="I654" i="6"/>
  <c r="G654" i="6" s="1"/>
  <c r="I655" i="6"/>
  <c r="H655" i="6" s="1"/>
  <c r="I656" i="6"/>
  <c r="H656" i="6" s="1"/>
  <c r="I657" i="6"/>
  <c r="H657" i="6" s="1"/>
  <c r="I658" i="6"/>
  <c r="H658" i="6" s="1"/>
  <c r="I659" i="6"/>
  <c r="H659" i="6" s="1"/>
  <c r="I660" i="6"/>
  <c r="G660" i="6" s="1"/>
  <c r="I661" i="6"/>
  <c r="H661" i="6" s="1"/>
  <c r="I662" i="6"/>
  <c r="G662" i="6" s="1"/>
  <c r="I663" i="6"/>
  <c r="H663" i="6" s="1"/>
  <c r="I664" i="6"/>
  <c r="H664" i="6" s="1"/>
  <c r="I665" i="6"/>
  <c r="H665" i="6" s="1"/>
  <c r="I666" i="6"/>
  <c r="H666" i="6" s="1"/>
  <c r="I667" i="6"/>
  <c r="H667" i="6" s="1"/>
  <c r="I668" i="6"/>
  <c r="G668" i="6" s="1"/>
  <c r="I669" i="6"/>
  <c r="H669" i="6" s="1"/>
  <c r="I670" i="6"/>
  <c r="G670" i="6" s="1"/>
  <c r="I671" i="6"/>
  <c r="H671" i="6" s="1"/>
  <c r="I672" i="6"/>
  <c r="H672" i="6" s="1"/>
  <c r="I673" i="6"/>
  <c r="H673" i="6" s="1"/>
  <c r="I674" i="6"/>
  <c r="H674" i="6" s="1"/>
  <c r="I675" i="6"/>
  <c r="H675" i="6" s="1"/>
  <c r="I676" i="6"/>
  <c r="G676" i="6" s="1"/>
  <c r="I677" i="6"/>
  <c r="H677" i="6" s="1"/>
  <c r="I678" i="6"/>
  <c r="G678" i="6" s="1"/>
  <c r="I679" i="6"/>
  <c r="H679" i="6" s="1"/>
  <c r="I680" i="6"/>
  <c r="H680" i="6" s="1"/>
  <c r="I681" i="6"/>
  <c r="H681" i="6" s="1"/>
  <c r="I682" i="6"/>
  <c r="H682" i="6" s="1"/>
  <c r="I683" i="6"/>
  <c r="H683" i="6" s="1"/>
  <c r="I684" i="6"/>
  <c r="G684" i="6" s="1"/>
  <c r="I685" i="6"/>
  <c r="H685" i="6" s="1"/>
  <c r="I686" i="6"/>
  <c r="H686" i="6" s="1"/>
  <c r="I687" i="6"/>
  <c r="G687" i="6" s="1"/>
  <c r="I688" i="6"/>
  <c r="G688" i="6" s="1"/>
  <c r="I689" i="6"/>
  <c r="G689" i="6" s="1"/>
  <c r="I690" i="6"/>
  <c r="G690" i="6" s="1"/>
  <c r="I691" i="6"/>
  <c r="G691" i="6" s="1"/>
  <c r="I692" i="6"/>
  <c r="G692" i="6" s="1"/>
  <c r="I693" i="6"/>
  <c r="H693" i="6" s="1"/>
  <c r="I694" i="6"/>
  <c r="H694" i="6" s="1"/>
  <c r="I695" i="6"/>
  <c r="G695" i="6" s="1"/>
  <c r="I696" i="6"/>
  <c r="G696" i="6" s="1"/>
  <c r="I697" i="6"/>
  <c r="G697" i="6" s="1"/>
  <c r="I698" i="6"/>
  <c r="G698" i="6" s="1"/>
  <c r="I699" i="6"/>
  <c r="G699" i="6" s="1"/>
  <c r="I700" i="6"/>
  <c r="G700" i="6" s="1"/>
  <c r="I701" i="6"/>
  <c r="H701" i="6" s="1"/>
  <c r="I702" i="6"/>
  <c r="H702" i="6" s="1"/>
  <c r="I703" i="6"/>
  <c r="G703" i="6" s="1"/>
  <c r="I704" i="6"/>
  <c r="G704" i="6" s="1"/>
  <c r="I705" i="6"/>
  <c r="G705" i="6" s="1"/>
  <c r="I706" i="6"/>
  <c r="G706" i="6" s="1"/>
  <c r="I707" i="6"/>
  <c r="G707" i="6" s="1"/>
  <c r="I708" i="6"/>
  <c r="G708" i="6" s="1"/>
  <c r="I709" i="6"/>
  <c r="H709" i="6" s="1"/>
  <c r="I710" i="6"/>
  <c r="H710" i="6" s="1"/>
  <c r="I711" i="6"/>
  <c r="G711" i="6" s="1"/>
  <c r="I712" i="6"/>
  <c r="G712" i="6" s="1"/>
  <c r="I713" i="6"/>
  <c r="G713" i="6" s="1"/>
  <c r="I714" i="6"/>
  <c r="G714" i="6" s="1"/>
  <c r="I715" i="6"/>
  <c r="G715" i="6" s="1"/>
  <c r="I716" i="6"/>
  <c r="G716" i="6" s="1"/>
  <c r="I717" i="6"/>
  <c r="H717" i="6" s="1"/>
  <c r="I718" i="6"/>
  <c r="G718" i="6" s="1"/>
  <c r="I719" i="6"/>
  <c r="G719" i="6" s="1"/>
  <c r="I720" i="6"/>
  <c r="G720" i="6" s="1"/>
  <c r="I721" i="6"/>
  <c r="G721" i="6" s="1"/>
  <c r="I722" i="6"/>
  <c r="G722" i="6" s="1"/>
  <c r="I723" i="6"/>
  <c r="H723" i="6" s="1"/>
  <c r="I724" i="6"/>
  <c r="H724" i="6" s="1"/>
  <c r="I725" i="6"/>
  <c r="H725" i="6" s="1"/>
  <c r="I726" i="6"/>
  <c r="G726" i="6" s="1"/>
  <c r="I727" i="6"/>
  <c r="G727" i="6" s="1"/>
  <c r="I728" i="6"/>
  <c r="G728" i="6" s="1"/>
  <c r="I729" i="6"/>
  <c r="G729" i="6" s="1"/>
  <c r="I730" i="6"/>
  <c r="G730" i="6" s="1"/>
  <c r="I731" i="6"/>
  <c r="H731" i="6" s="1"/>
  <c r="I732" i="6"/>
  <c r="H732" i="6" s="1"/>
  <c r="I733" i="6"/>
  <c r="H733" i="6" s="1"/>
  <c r="I734" i="6"/>
  <c r="G734" i="6" s="1"/>
  <c r="I735" i="6"/>
  <c r="G735" i="6" s="1"/>
  <c r="I736" i="6"/>
  <c r="G736" i="6" s="1"/>
  <c r="I737" i="6"/>
  <c r="G737" i="6" s="1"/>
  <c r="I738" i="6"/>
  <c r="G738" i="6" s="1"/>
  <c r="I739" i="6"/>
  <c r="H739" i="6" s="1"/>
  <c r="I740" i="6"/>
  <c r="H740" i="6" s="1"/>
  <c r="I741" i="6"/>
  <c r="H741" i="6" s="1"/>
  <c r="I742" i="6"/>
  <c r="G742" i="6" s="1"/>
  <c r="I743" i="6"/>
  <c r="G743" i="6" s="1"/>
  <c r="I744" i="6"/>
  <c r="G744" i="6" s="1"/>
  <c r="I745" i="6"/>
  <c r="G745" i="6" s="1"/>
  <c r="I746" i="6"/>
  <c r="G746" i="6" s="1"/>
  <c r="I747" i="6"/>
  <c r="H747" i="6" s="1"/>
  <c r="I748" i="6"/>
  <c r="G748" i="6" s="1"/>
  <c r="I749" i="6"/>
  <c r="G749" i="6" s="1"/>
  <c r="I750" i="6"/>
  <c r="G750" i="6" s="1"/>
  <c r="I751" i="6"/>
  <c r="G751" i="6" s="1"/>
  <c r="I752" i="6"/>
  <c r="G752" i="6" s="1"/>
  <c r="I753" i="6"/>
  <c r="G753" i="6" s="1"/>
  <c r="I754" i="6"/>
  <c r="G754" i="6" s="1"/>
  <c r="I755" i="6"/>
  <c r="G755" i="6" s="1"/>
  <c r="I756" i="6"/>
  <c r="G756" i="6" s="1"/>
  <c r="I757" i="6"/>
  <c r="G757" i="6" s="1"/>
  <c r="I758" i="6"/>
  <c r="G758" i="6" s="1"/>
  <c r="I759" i="6"/>
  <c r="G759" i="6" s="1"/>
  <c r="I760" i="6"/>
  <c r="H760" i="6" s="1"/>
  <c r="I761" i="6"/>
  <c r="G761" i="6" s="1"/>
  <c r="I762" i="6"/>
  <c r="G762" i="6" s="1"/>
  <c r="I763" i="6"/>
  <c r="G763" i="6" s="1"/>
  <c r="I764" i="6"/>
  <c r="G764" i="6" s="1"/>
  <c r="I765" i="6"/>
  <c r="G765" i="6" s="1"/>
  <c r="I766" i="6"/>
  <c r="G766" i="6" s="1"/>
  <c r="I767" i="6"/>
  <c r="G767" i="6" s="1"/>
  <c r="I768" i="6"/>
  <c r="G768" i="6" s="1"/>
  <c r="I769" i="6"/>
  <c r="G769" i="6" s="1"/>
  <c r="I770" i="6"/>
  <c r="G770" i="6" s="1"/>
  <c r="I771" i="6"/>
  <c r="G771" i="6" s="1"/>
  <c r="I772" i="6"/>
  <c r="G772" i="6" s="1"/>
  <c r="I773" i="6"/>
  <c r="G773" i="6" s="1"/>
  <c r="I774" i="6"/>
  <c r="G774" i="6" s="1"/>
  <c r="I775" i="6"/>
  <c r="G775" i="6" s="1"/>
  <c r="I776" i="6"/>
  <c r="H776" i="6" s="1"/>
  <c r="I777" i="6"/>
  <c r="G777" i="6" s="1"/>
  <c r="I778" i="6"/>
  <c r="G778" i="6" s="1"/>
  <c r="I779" i="6"/>
  <c r="H779" i="6" s="1"/>
  <c r="I780" i="6"/>
  <c r="G780" i="6" s="1"/>
  <c r="I781" i="6"/>
  <c r="G781" i="6" s="1"/>
  <c r="I782" i="6"/>
  <c r="G782" i="6" s="1"/>
  <c r="I783" i="6"/>
  <c r="H783" i="6" s="1"/>
  <c r="I784" i="6"/>
  <c r="H784" i="6" s="1"/>
  <c r="I785" i="6"/>
  <c r="H785" i="6" s="1"/>
  <c r="I786" i="6"/>
  <c r="H786" i="6" s="1"/>
  <c r="I787" i="6"/>
  <c r="H787" i="6" s="1"/>
  <c r="I788" i="6"/>
  <c r="G788" i="6" s="1"/>
  <c r="I789" i="6"/>
  <c r="G789" i="6" s="1"/>
  <c r="I790" i="6"/>
  <c r="G790" i="6" s="1"/>
  <c r="I791" i="6"/>
  <c r="H791" i="6" s="1"/>
  <c r="I792" i="6"/>
  <c r="H792" i="6" s="1"/>
  <c r="I793" i="6"/>
  <c r="H793" i="6" s="1"/>
  <c r="I794" i="6"/>
  <c r="H794" i="6" s="1"/>
  <c r="I795" i="6"/>
  <c r="H795" i="6" s="1"/>
  <c r="I796" i="6"/>
  <c r="G796" i="6" s="1"/>
  <c r="I797" i="6"/>
  <c r="G797" i="6" s="1"/>
  <c r="I798" i="6"/>
  <c r="G798" i="6" s="1"/>
  <c r="I799" i="6"/>
  <c r="H799" i="6" s="1"/>
  <c r="I800" i="6"/>
  <c r="H800" i="6" s="1"/>
  <c r="I801" i="6"/>
  <c r="H801" i="6" s="1"/>
  <c r="I802" i="6"/>
  <c r="H802" i="6" s="1"/>
  <c r="I803" i="6"/>
  <c r="H803" i="6" s="1"/>
  <c r="I804" i="6"/>
  <c r="G804" i="6" s="1"/>
  <c r="I805" i="6"/>
  <c r="G805" i="6" s="1"/>
  <c r="I806" i="6"/>
  <c r="G806" i="6" s="1"/>
  <c r="I807" i="6"/>
  <c r="H807" i="6" s="1"/>
  <c r="I808" i="6"/>
  <c r="H808" i="6" s="1"/>
  <c r="I809" i="6"/>
  <c r="H809" i="6" s="1"/>
  <c r="I810" i="6"/>
  <c r="G810" i="6" s="1"/>
  <c r="I811" i="6"/>
  <c r="G811" i="6" s="1"/>
  <c r="I812" i="6"/>
  <c r="G812" i="6" s="1"/>
  <c r="I813" i="6"/>
  <c r="H813" i="6" s="1"/>
  <c r="I814" i="6"/>
  <c r="H814" i="6" s="1"/>
  <c r="I815" i="6"/>
  <c r="G815" i="6" s="1"/>
  <c r="I816" i="6"/>
  <c r="G816" i="6" s="1"/>
  <c r="I817" i="6"/>
  <c r="G817" i="6" s="1"/>
  <c r="I818" i="6"/>
  <c r="G818" i="6" s="1"/>
  <c r="I819" i="6"/>
  <c r="G819" i="6" s="1"/>
  <c r="I820" i="6"/>
  <c r="G820" i="6" s="1"/>
  <c r="I821" i="6"/>
  <c r="H821" i="6" s="1"/>
  <c r="I822" i="6"/>
  <c r="H822" i="6" s="1"/>
  <c r="I823" i="6"/>
  <c r="G823" i="6" s="1"/>
  <c r="I824" i="6"/>
  <c r="G824" i="6" s="1"/>
  <c r="I825" i="6"/>
  <c r="G825" i="6" s="1"/>
  <c r="I826" i="6"/>
  <c r="G826" i="6" s="1"/>
  <c r="I827" i="6"/>
  <c r="G827" i="6" s="1"/>
  <c r="I828" i="6"/>
  <c r="G828" i="6" s="1"/>
  <c r="I829" i="6"/>
  <c r="H829" i="6" s="1"/>
  <c r="I830" i="6"/>
  <c r="H830" i="6" s="1"/>
  <c r="I831" i="6"/>
  <c r="G831" i="6" s="1"/>
  <c r="I832" i="6"/>
  <c r="G832" i="6" s="1"/>
  <c r="I833" i="6"/>
  <c r="G833" i="6" s="1"/>
  <c r="I834" i="6"/>
  <c r="G834" i="6" s="1"/>
  <c r="I835" i="6"/>
  <c r="G835" i="6" s="1"/>
  <c r="I836" i="6"/>
  <c r="G836" i="6" s="1"/>
  <c r="I837" i="6"/>
  <c r="H837" i="6" s="1"/>
  <c r="I838" i="6"/>
  <c r="H838" i="6" s="1"/>
  <c r="I839" i="6"/>
  <c r="G839" i="6" s="1"/>
  <c r="I840" i="6"/>
  <c r="G840" i="6" s="1"/>
  <c r="I841" i="6"/>
  <c r="H841" i="6" s="1"/>
  <c r="I842" i="6"/>
  <c r="H842" i="6" s="1"/>
  <c r="I843" i="6"/>
  <c r="G843" i="6" s="1"/>
  <c r="I844" i="6"/>
  <c r="G844" i="6" s="1"/>
  <c r="I845" i="6"/>
  <c r="H845" i="6" s="1"/>
  <c r="I846" i="6"/>
  <c r="G846" i="6" s="1"/>
  <c r="I847" i="6"/>
  <c r="H847" i="6" s="1"/>
  <c r="I848" i="6"/>
  <c r="H848" i="6" s="1"/>
  <c r="I849" i="6"/>
  <c r="H849" i="6" s="1"/>
  <c r="I850" i="6"/>
  <c r="H850" i="6" s="1"/>
  <c r="I851" i="6"/>
  <c r="H851" i="6" s="1"/>
  <c r="I852" i="6"/>
  <c r="G852" i="6" s="1"/>
  <c r="I853" i="6"/>
  <c r="H853" i="6" s="1"/>
  <c r="I854" i="6"/>
  <c r="G854" i="6" s="1"/>
  <c r="I855" i="6"/>
  <c r="H855" i="6" s="1"/>
  <c r="I856" i="6"/>
  <c r="H856" i="6" s="1"/>
  <c r="I857" i="6"/>
  <c r="H857" i="6" s="1"/>
  <c r="I858" i="6"/>
  <c r="H858" i="6" s="1"/>
  <c r="I859" i="6"/>
  <c r="H859" i="6" s="1"/>
  <c r="I860" i="6"/>
  <c r="G860" i="6" s="1"/>
  <c r="I861" i="6"/>
  <c r="H861" i="6" s="1"/>
  <c r="I862" i="6"/>
  <c r="G862" i="6" s="1"/>
  <c r="I863" i="6"/>
  <c r="H863" i="6" s="1"/>
  <c r="I864" i="6"/>
  <c r="H864" i="6" s="1"/>
  <c r="I865" i="6"/>
  <c r="H865" i="6" s="1"/>
  <c r="I866" i="6"/>
  <c r="H866" i="6" s="1"/>
  <c r="I867" i="6"/>
  <c r="G867" i="6" s="1"/>
  <c r="I868" i="6"/>
  <c r="G868" i="6" s="1"/>
  <c r="I869" i="6"/>
  <c r="H869" i="6" s="1"/>
  <c r="I870" i="6"/>
  <c r="G870" i="6" s="1"/>
  <c r="I871" i="6"/>
  <c r="H871" i="6" s="1"/>
  <c r="H122" i="6"/>
  <c r="H123" i="6"/>
  <c r="H124" i="6"/>
  <c r="H125" i="6"/>
  <c r="H126" i="6"/>
  <c r="H127" i="6"/>
  <c r="H224" i="6"/>
  <c r="H286" i="6"/>
  <c r="H287" i="6"/>
  <c r="H288" i="6"/>
  <c r="H289" i="6"/>
  <c r="H291" i="6"/>
  <c r="H293" i="6"/>
  <c r="H294" i="6"/>
  <c r="H295" i="6"/>
  <c r="H297" i="6"/>
  <c r="H299" i="6"/>
  <c r="H300" i="6"/>
  <c r="H301" i="6"/>
  <c r="H302" i="6"/>
  <c r="H303" i="6"/>
  <c r="H304" i="6"/>
  <c r="H305" i="6"/>
  <c r="H308" i="6"/>
  <c r="H309" i="6"/>
  <c r="H310" i="6"/>
  <c r="H312" i="6"/>
  <c r="H313" i="6"/>
  <c r="H316" i="6"/>
  <c r="H318" i="6"/>
  <c r="G122" i="6"/>
  <c r="G123" i="6"/>
  <c r="G124" i="6"/>
  <c r="G125" i="6"/>
  <c r="G126" i="6"/>
  <c r="G127" i="6"/>
  <c r="G247" i="6"/>
  <c r="G286" i="6"/>
  <c r="G287" i="6"/>
  <c r="G289" i="6"/>
  <c r="G291" i="6"/>
  <c r="G292" i="6"/>
  <c r="G293" i="6"/>
  <c r="G294" i="6"/>
  <c r="G295" i="6"/>
  <c r="G297" i="6"/>
  <c r="G299" i="6"/>
  <c r="G300" i="6"/>
  <c r="G301" i="6"/>
  <c r="G302" i="6"/>
  <c r="G303" i="6"/>
  <c r="G305" i="6"/>
  <c r="G309" i="6"/>
  <c r="G310" i="6"/>
  <c r="G313" i="6"/>
  <c r="G316" i="6"/>
  <c r="G318" i="6"/>
  <c r="G319" i="6"/>
  <c r="I139" i="6"/>
  <c r="H139" i="6" s="1"/>
  <c r="I140" i="6"/>
  <c r="H140" i="6" s="1"/>
  <c r="I141" i="6"/>
  <c r="G141" i="6" s="1"/>
  <c r="I142" i="6"/>
  <c r="G142" i="6" s="1"/>
  <c r="I143" i="6"/>
  <c r="G143" i="6" s="1"/>
  <c r="I144" i="6"/>
  <c r="G144" i="6" s="1"/>
  <c r="I145" i="6"/>
  <c r="G145" i="6" s="1"/>
  <c r="I146" i="6"/>
  <c r="G146" i="6" s="1"/>
  <c r="I147" i="6"/>
  <c r="H147" i="6" s="1"/>
  <c r="I148" i="6"/>
  <c r="H148" i="6" s="1"/>
  <c r="I149" i="6"/>
  <c r="G149" i="6" s="1"/>
  <c r="I150" i="6"/>
  <c r="G150" i="6" s="1"/>
  <c r="I151" i="6"/>
  <c r="G151" i="6" s="1"/>
  <c r="I152" i="6"/>
  <c r="G152" i="6" s="1"/>
  <c r="I153" i="6"/>
  <c r="G153" i="6" s="1"/>
  <c r="I154" i="6"/>
  <c r="G154" i="6" s="1"/>
  <c r="I155" i="6"/>
  <c r="H155" i="6" s="1"/>
  <c r="I156" i="6"/>
  <c r="H156" i="6" s="1"/>
  <c r="I157" i="6"/>
  <c r="G157" i="6" s="1"/>
  <c r="I158" i="6"/>
  <c r="G158" i="6" s="1"/>
  <c r="I159" i="6"/>
  <c r="G159" i="6" s="1"/>
  <c r="I160" i="6"/>
  <c r="H160" i="6" s="1"/>
  <c r="I161" i="6"/>
  <c r="G161" i="6" s="1"/>
  <c r="I162" i="6"/>
  <c r="H162" i="6" s="1"/>
  <c r="I163" i="6"/>
  <c r="G163" i="6" s="1"/>
  <c r="I164" i="6"/>
  <c r="G164" i="6" s="1"/>
  <c r="I165" i="6"/>
  <c r="G165" i="6" s="1"/>
  <c r="I166" i="6"/>
  <c r="G166" i="6" s="1"/>
  <c r="I167" i="6"/>
  <c r="G167" i="6" s="1"/>
  <c r="I168" i="6"/>
  <c r="H168" i="6" s="1"/>
  <c r="I169" i="6"/>
  <c r="G169" i="6" s="1"/>
  <c r="I170" i="6"/>
  <c r="H170" i="6" s="1"/>
  <c r="I171" i="6"/>
  <c r="G171" i="6" s="1"/>
  <c r="I172" i="6"/>
  <c r="G172" i="6" s="1"/>
  <c r="I173" i="6"/>
  <c r="G173" i="6" s="1"/>
  <c r="I174" i="6"/>
  <c r="G174" i="6" s="1"/>
  <c r="I175" i="6"/>
  <c r="H175" i="6" s="1"/>
  <c r="I176" i="6"/>
  <c r="H176" i="6" s="1"/>
  <c r="I177" i="6"/>
  <c r="G177" i="6" s="1"/>
  <c r="I178" i="6"/>
  <c r="H178" i="6" s="1"/>
  <c r="I179" i="6"/>
  <c r="G179" i="6" s="1"/>
  <c r="I180" i="6"/>
  <c r="G180" i="6" s="1"/>
  <c r="I181" i="6"/>
  <c r="G181" i="6" s="1"/>
  <c r="I182" i="6"/>
  <c r="G182" i="6" s="1"/>
  <c r="I183" i="6"/>
  <c r="H183" i="6" s="1"/>
  <c r="I184" i="6"/>
  <c r="H184" i="6" s="1"/>
  <c r="I185" i="6"/>
  <c r="G185" i="6" s="1"/>
  <c r="I186" i="6"/>
  <c r="H186" i="6" s="1"/>
  <c r="I187" i="6"/>
  <c r="G187" i="6" s="1"/>
  <c r="I188" i="6"/>
  <c r="G188" i="6" s="1"/>
  <c r="I189" i="6"/>
  <c r="G189" i="6" s="1"/>
  <c r="I190" i="6"/>
  <c r="G190" i="6" s="1"/>
  <c r="I191" i="6"/>
  <c r="G191" i="6" s="1"/>
  <c r="I192" i="6"/>
  <c r="H192" i="6" s="1"/>
  <c r="I193" i="6"/>
  <c r="G193" i="6" s="1"/>
  <c r="I194" i="6"/>
  <c r="H194" i="6" s="1"/>
  <c r="I195" i="6"/>
  <c r="G195" i="6" s="1"/>
  <c r="I196" i="6"/>
  <c r="G196" i="6" s="1"/>
  <c r="I197" i="6"/>
  <c r="G197" i="6" s="1"/>
  <c r="I198" i="6"/>
  <c r="G198" i="6" s="1"/>
  <c r="I199" i="6"/>
  <c r="G199" i="6" s="1"/>
  <c r="I200" i="6"/>
  <c r="H200" i="6" s="1"/>
  <c r="I201" i="6"/>
  <c r="G201" i="6" s="1"/>
  <c r="I202" i="6"/>
  <c r="H202" i="6" s="1"/>
  <c r="I203" i="6"/>
  <c r="G203" i="6" s="1"/>
  <c r="I204" i="6"/>
  <c r="G204" i="6" s="1"/>
  <c r="I205" i="6"/>
  <c r="G205" i="6" s="1"/>
  <c r="I206" i="6"/>
  <c r="H206" i="6" s="1"/>
  <c r="I207" i="6"/>
  <c r="H207" i="6" s="1"/>
  <c r="I208" i="6"/>
  <c r="H208" i="6" s="1"/>
  <c r="I209" i="6"/>
  <c r="H209" i="6" s="1"/>
  <c r="I210" i="6"/>
  <c r="H210" i="6" s="1"/>
  <c r="I211" i="6"/>
  <c r="G211" i="6" s="1"/>
  <c r="I212" i="6"/>
  <c r="G212" i="6" s="1"/>
  <c r="I213" i="6"/>
  <c r="G213" i="6" s="1"/>
  <c r="I214" i="6"/>
  <c r="H214" i="6" s="1"/>
  <c r="I215" i="6"/>
  <c r="H215" i="6" s="1"/>
  <c r="I216" i="6"/>
  <c r="H216" i="6" s="1"/>
  <c r="I217" i="6"/>
  <c r="H217" i="6" s="1"/>
  <c r="I218" i="6"/>
  <c r="H218" i="6" s="1"/>
  <c r="I219" i="6"/>
  <c r="H219" i="6" s="1"/>
  <c r="I220" i="6"/>
  <c r="G220" i="6" s="1"/>
  <c r="I221" i="6"/>
  <c r="G221" i="6" s="1"/>
  <c r="I222" i="6"/>
  <c r="H222" i="6" s="1"/>
  <c r="I223" i="6"/>
  <c r="G223" i="6" s="1"/>
  <c r="I224" i="6"/>
  <c r="G224" i="6" s="1"/>
  <c r="I225" i="6"/>
  <c r="H225" i="6" s="1"/>
  <c r="I226" i="6"/>
  <c r="H226" i="6" s="1"/>
  <c r="I227" i="6"/>
  <c r="H227" i="6" s="1"/>
  <c r="I228" i="6"/>
  <c r="H228" i="6" s="1"/>
  <c r="I229" i="6"/>
  <c r="H229" i="6" s="1"/>
  <c r="I230" i="6"/>
  <c r="H230" i="6" s="1"/>
  <c r="I231" i="6"/>
  <c r="H231" i="6" s="1"/>
  <c r="I232" i="6"/>
  <c r="H232" i="6" s="1"/>
  <c r="I233" i="6"/>
  <c r="H233" i="6" s="1"/>
  <c r="I234" i="6"/>
  <c r="H234" i="6" s="1"/>
  <c r="I235" i="6"/>
  <c r="H235" i="6" s="1"/>
  <c r="I236" i="6"/>
  <c r="H236" i="6" s="1"/>
  <c r="I237" i="6"/>
  <c r="H237" i="6" s="1"/>
  <c r="I238" i="6"/>
  <c r="H238" i="6" s="1"/>
  <c r="I239" i="6"/>
  <c r="H239" i="6" s="1"/>
  <c r="I240" i="6"/>
  <c r="H240" i="6" s="1"/>
  <c r="I241" i="6"/>
  <c r="H241" i="6" s="1"/>
  <c r="I242" i="6"/>
  <c r="H242" i="6" s="1"/>
  <c r="I243" i="6"/>
  <c r="H243" i="6" s="1"/>
  <c r="I244" i="6"/>
  <c r="H244" i="6" s="1"/>
  <c r="I245" i="6"/>
  <c r="H245" i="6" s="1"/>
  <c r="I246" i="6"/>
  <c r="H246" i="6" s="1"/>
  <c r="I247" i="6"/>
  <c r="H247" i="6" s="1"/>
  <c r="I248" i="6"/>
  <c r="G248" i="6" s="1"/>
  <c r="I249" i="6"/>
  <c r="H249" i="6" s="1"/>
  <c r="I250" i="6"/>
  <c r="H250" i="6" s="1"/>
  <c r="I251" i="6"/>
  <c r="H251" i="6" s="1"/>
  <c r="I252" i="6"/>
  <c r="G252" i="6" s="1"/>
  <c r="I253" i="6"/>
  <c r="G253" i="6" s="1"/>
  <c r="I254" i="6"/>
  <c r="H254" i="6" s="1"/>
  <c r="I255" i="6"/>
  <c r="G255" i="6" s="1"/>
  <c r="I256" i="6"/>
  <c r="H256" i="6" s="1"/>
  <c r="I257" i="6"/>
  <c r="H257" i="6" s="1"/>
  <c r="I258" i="6"/>
  <c r="H258" i="6" s="1"/>
  <c r="I259" i="6"/>
  <c r="G259" i="6" s="1"/>
  <c r="I260" i="6"/>
  <c r="G260" i="6" s="1"/>
  <c r="I261" i="6"/>
  <c r="G261" i="6" s="1"/>
  <c r="I262" i="6"/>
  <c r="H262" i="6" s="1"/>
  <c r="I263" i="6"/>
  <c r="G263" i="6" s="1"/>
  <c r="I264" i="6"/>
  <c r="H264" i="6" s="1"/>
  <c r="I265" i="6"/>
  <c r="H265" i="6" s="1"/>
  <c r="I266" i="6"/>
  <c r="H266" i="6" s="1"/>
  <c r="I267" i="6"/>
  <c r="G267" i="6" s="1"/>
  <c r="I268" i="6"/>
  <c r="G268" i="6" s="1"/>
  <c r="I269" i="6"/>
  <c r="G269" i="6" s="1"/>
  <c r="I270" i="6"/>
  <c r="H270" i="6" s="1"/>
  <c r="I271" i="6"/>
  <c r="G271" i="6" s="1"/>
  <c r="I272" i="6"/>
  <c r="H272" i="6" s="1"/>
  <c r="I273" i="6"/>
  <c r="H273" i="6" s="1"/>
  <c r="I274" i="6"/>
  <c r="H274" i="6" s="1"/>
  <c r="I275" i="6"/>
  <c r="G275" i="6" s="1"/>
  <c r="I276" i="6"/>
  <c r="G276" i="6" s="1"/>
  <c r="I277" i="6"/>
  <c r="G277" i="6" s="1"/>
  <c r="I278" i="6"/>
  <c r="H278" i="6" s="1"/>
  <c r="I279" i="6"/>
  <c r="H279" i="6" s="1"/>
  <c r="I280" i="6"/>
  <c r="H280" i="6" s="1"/>
  <c r="I281" i="6"/>
  <c r="H281" i="6" s="1"/>
  <c r="I282" i="6"/>
  <c r="H282" i="6" s="1"/>
  <c r="G284" i="6"/>
  <c r="H285" i="6"/>
  <c r="I122" i="6"/>
  <c r="I123" i="6"/>
  <c r="I124" i="6"/>
  <c r="I125" i="6"/>
  <c r="I126" i="6"/>
  <c r="I127" i="6"/>
  <c r="I128" i="6"/>
  <c r="G128" i="6" s="1"/>
  <c r="I129" i="6"/>
  <c r="G129" i="6" s="1"/>
  <c r="I130" i="6"/>
  <c r="G130" i="6" s="1"/>
  <c r="I131" i="6"/>
  <c r="H131" i="6" s="1"/>
  <c r="I132" i="6"/>
  <c r="H132" i="6" s="1"/>
  <c r="I133" i="6"/>
  <c r="G133" i="6" s="1"/>
  <c r="I134" i="6"/>
  <c r="G134" i="6" s="1"/>
  <c r="I135" i="6"/>
  <c r="G135" i="6" s="1"/>
  <c r="I136" i="6"/>
  <c r="G136" i="6" s="1"/>
  <c r="I137" i="6"/>
  <c r="G137" i="6" s="1"/>
  <c r="I138" i="6"/>
  <c r="G138" i="6" s="1"/>
  <c r="I97" i="6"/>
  <c r="G97" i="6" s="1"/>
  <c r="I98" i="6"/>
  <c r="I99" i="6"/>
  <c r="I100" i="6"/>
  <c r="H100" i="6" s="1"/>
  <c r="I101" i="6"/>
  <c r="G101" i="6" s="1"/>
  <c r="I102" i="6"/>
  <c r="I103" i="6"/>
  <c r="H103" i="6" s="1"/>
  <c r="I104" i="6"/>
  <c r="G104" i="6" s="1"/>
  <c r="I105" i="6"/>
  <c r="I106" i="6"/>
  <c r="I107" i="6"/>
  <c r="G107" i="6" s="1"/>
  <c r="I108" i="6"/>
  <c r="G108" i="6" s="1"/>
  <c r="I109" i="6"/>
  <c r="G109" i="6" s="1"/>
  <c r="I110" i="6"/>
  <c r="I111" i="6"/>
  <c r="H111" i="6" s="1"/>
  <c r="I112" i="6"/>
  <c r="H112" i="6" s="1"/>
  <c r="I113" i="6"/>
  <c r="G113" i="6" s="1"/>
  <c r="I114" i="6"/>
  <c r="G114" i="6" s="1"/>
  <c r="I115" i="6"/>
  <c r="H115" i="6" s="1"/>
  <c r="I116" i="6"/>
  <c r="H116" i="6" s="1"/>
  <c r="I117" i="6"/>
  <c r="H117" i="6" s="1"/>
  <c r="I118" i="6"/>
  <c r="I119" i="6"/>
  <c r="H119" i="6" s="1"/>
  <c r="I120" i="6"/>
  <c r="H120" i="6" s="1"/>
  <c r="I121" i="6"/>
  <c r="G121" i="6" s="1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I55" i="6"/>
  <c r="G55" i="6" s="1"/>
  <c r="I56" i="6"/>
  <c r="G56" i="6" s="1"/>
  <c r="I57" i="6"/>
  <c r="G57" i="6" s="1"/>
  <c r="I58" i="6"/>
  <c r="H58" i="6" s="1"/>
  <c r="I59" i="6"/>
  <c r="H59" i="6" s="1"/>
  <c r="I60" i="6"/>
  <c r="H60" i="6" s="1"/>
  <c r="I61" i="6"/>
  <c r="H61" i="6" s="1"/>
  <c r="I62" i="6"/>
  <c r="G62" i="6" s="1"/>
  <c r="I63" i="6"/>
  <c r="G63" i="6" s="1"/>
  <c r="I64" i="6"/>
  <c r="H64" i="6" s="1"/>
  <c r="I65" i="6"/>
  <c r="G65" i="6" s="1"/>
  <c r="I66" i="6"/>
  <c r="G66" i="6" s="1"/>
  <c r="I67" i="6"/>
  <c r="I68" i="6"/>
  <c r="G68" i="6" s="1"/>
  <c r="I69" i="6"/>
  <c r="H69" i="6" s="1"/>
  <c r="I70" i="6"/>
  <c r="G70" i="6" s="1"/>
  <c r="I71" i="6"/>
  <c r="G71" i="6" s="1"/>
  <c r="I72" i="6"/>
  <c r="G72" i="6" s="1"/>
  <c r="I73" i="6"/>
  <c r="H73" i="6" s="1"/>
  <c r="I74" i="6"/>
  <c r="I75" i="6"/>
  <c r="I76" i="6"/>
  <c r="G76" i="6" s="1"/>
  <c r="I77" i="6"/>
  <c r="H77" i="6" s="1"/>
  <c r="I78" i="6"/>
  <c r="G78" i="6" s="1"/>
  <c r="I79" i="6"/>
  <c r="I80" i="6"/>
  <c r="G80" i="6" s="1"/>
  <c r="I81" i="6"/>
  <c r="I82" i="6"/>
  <c r="I83" i="6"/>
  <c r="I84" i="6"/>
  <c r="H84" i="6" s="1"/>
  <c r="I85" i="6"/>
  <c r="H85" i="6" s="1"/>
  <c r="I86" i="6"/>
  <c r="G86" i="6" s="1"/>
  <c r="I87" i="6"/>
  <c r="H87" i="6" s="1"/>
  <c r="I88" i="6"/>
  <c r="H88" i="6" s="1"/>
  <c r="I89" i="6"/>
  <c r="G89" i="6" s="1"/>
  <c r="I90" i="6"/>
  <c r="I91" i="6"/>
  <c r="I92" i="6"/>
  <c r="G92" i="6" s="1"/>
  <c r="I93" i="6"/>
  <c r="G93" i="6" s="1"/>
  <c r="I94" i="6"/>
  <c r="G94" i="6" s="1"/>
  <c r="I95" i="6"/>
  <c r="I96" i="6"/>
  <c r="H96" i="6" s="1"/>
  <c r="G102" i="6"/>
  <c r="G106" i="6"/>
  <c r="G110" i="6"/>
  <c r="G118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G35" i="6"/>
  <c r="G67" i="6"/>
  <c r="G74" i="6"/>
  <c r="G75" i="6"/>
  <c r="G79" i="6"/>
  <c r="G81" i="6"/>
  <c r="G82" i="6"/>
  <c r="G83" i="6"/>
  <c r="G84" i="6"/>
  <c r="G87" i="6"/>
  <c r="G90" i="6"/>
  <c r="G91" i="6"/>
  <c r="G95" i="6"/>
  <c r="G98" i="6"/>
  <c r="G99" i="6"/>
  <c r="G100" i="6"/>
  <c r="G105" i="6"/>
  <c r="G116" i="6"/>
  <c r="H35" i="6"/>
  <c r="H67" i="6"/>
  <c r="H71" i="6"/>
  <c r="H72" i="6"/>
  <c r="H74" i="6"/>
  <c r="H75" i="6"/>
  <c r="H79" i="6"/>
  <c r="H80" i="6"/>
  <c r="H81" i="6"/>
  <c r="H82" i="6"/>
  <c r="H83" i="6"/>
  <c r="H90" i="6"/>
  <c r="H91" i="6"/>
  <c r="H93" i="6"/>
  <c r="H95" i="6"/>
  <c r="H98" i="6"/>
  <c r="H99" i="6"/>
  <c r="H105" i="6"/>
  <c r="H106" i="6"/>
  <c r="H107" i="6"/>
  <c r="H108" i="6"/>
  <c r="H113" i="6"/>
  <c r="H114" i="6"/>
  <c r="H121" i="6"/>
  <c r="H868" i="6" l="1"/>
  <c r="G858" i="6"/>
  <c r="H867" i="6"/>
  <c r="G851" i="6"/>
  <c r="H860" i="6"/>
  <c r="G850" i="6"/>
  <c r="H852" i="6"/>
  <c r="G842" i="6"/>
  <c r="H844" i="6"/>
  <c r="G866" i="6"/>
  <c r="H812" i="6"/>
  <c r="H836" i="6"/>
  <c r="G803" i="6"/>
  <c r="H806" i="6"/>
  <c r="G795" i="6"/>
  <c r="H798" i="6"/>
  <c r="G787" i="6"/>
  <c r="H790" i="6"/>
  <c r="H782" i="6"/>
  <c r="G779" i="6"/>
  <c r="H752" i="6"/>
  <c r="G776" i="6"/>
  <c r="H768" i="6"/>
  <c r="G760" i="6"/>
  <c r="H722" i="6"/>
  <c r="G741" i="6"/>
  <c r="G733" i="6"/>
  <c r="G725" i="6"/>
  <c r="H738" i="6"/>
  <c r="G717" i="6"/>
  <c r="H690" i="6"/>
  <c r="H714" i="6"/>
  <c r="H713" i="6"/>
  <c r="H706" i="6"/>
  <c r="H705" i="6"/>
  <c r="H698" i="6"/>
  <c r="G669" i="6"/>
  <c r="G667" i="6"/>
  <c r="G685" i="6"/>
  <c r="G665" i="6"/>
  <c r="H684" i="6"/>
  <c r="G683" i="6"/>
  <c r="G661" i="6"/>
  <c r="H676" i="6"/>
  <c r="G681" i="6"/>
  <c r="G659" i="6"/>
  <c r="H668" i="6"/>
  <c r="G677" i="6"/>
  <c r="G657" i="6"/>
  <c r="H660" i="6"/>
  <c r="G675" i="6"/>
  <c r="H647" i="6"/>
  <c r="H639" i="6"/>
  <c r="H631" i="6"/>
  <c r="G648" i="6"/>
  <c r="G640" i="6"/>
  <c r="G632" i="6"/>
  <c r="G24" i="8" s="1"/>
  <c r="I24" i="8" s="1"/>
  <c r="G624" i="6"/>
  <c r="G621" i="6"/>
  <c r="G613" i="6"/>
  <c r="G605" i="6"/>
  <c r="H617" i="6"/>
  <c r="G597" i="6"/>
  <c r="H609" i="6"/>
  <c r="H593" i="6"/>
  <c r="H570" i="6"/>
  <c r="H569" i="6"/>
  <c r="G589" i="6"/>
  <c r="G582" i="6"/>
  <c r="G581" i="6"/>
  <c r="H586" i="6"/>
  <c r="G574" i="6"/>
  <c r="H585" i="6"/>
  <c r="G573" i="6"/>
  <c r="H578" i="6"/>
  <c r="G566" i="6"/>
  <c r="H577" i="6"/>
  <c r="G565" i="6"/>
  <c r="H562" i="6"/>
  <c r="H550" i="6"/>
  <c r="H549" i="6"/>
  <c r="H542" i="6"/>
  <c r="H541" i="6"/>
  <c r="G561" i="6"/>
  <c r="H534" i="6"/>
  <c r="G553" i="6"/>
  <c r="H533" i="6"/>
  <c r="G545" i="6"/>
  <c r="H558" i="6"/>
  <c r="G537" i="6"/>
  <c r="H528" i="6"/>
  <c r="H527" i="6"/>
  <c r="H519" i="6"/>
  <c r="H512" i="6"/>
  <c r="H511" i="6"/>
  <c r="H504" i="6"/>
  <c r="H503" i="6"/>
  <c r="H476" i="6"/>
  <c r="G498" i="6"/>
  <c r="G492" i="6"/>
  <c r="G490" i="6"/>
  <c r="G482" i="6"/>
  <c r="G474" i="6"/>
  <c r="H870" i="6"/>
  <c r="H31" i="8" s="1"/>
  <c r="J31" i="8" s="1"/>
  <c r="H862" i="6"/>
  <c r="H854" i="6"/>
  <c r="H846" i="6"/>
  <c r="G869" i="6"/>
  <c r="G861" i="6"/>
  <c r="G853" i="6"/>
  <c r="G845" i="6"/>
  <c r="G865" i="6"/>
  <c r="G857" i="6"/>
  <c r="G849" i="6"/>
  <c r="G841" i="6"/>
  <c r="G864" i="6"/>
  <c r="G856" i="6"/>
  <c r="G848" i="6"/>
  <c r="G871" i="6"/>
  <c r="G863" i="6"/>
  <c r="G855" i="6"/>
  <c r="G847" i="6"/>
  <c r="G838" i="6"/>
  <c r="G814" i="6"/>
  <c r="H835" i="6"/>
  <c r="H827" i="6"/>
  <c r="H819" i="6"/>
  <c r="H811" i="6"/>
  <c r="G837" i="6"/>
  <c r="G829" i="6"/>
  <c r="G821" i="6"/>
  <c r="G813" i="6"/>
  <c r="H834" i="6"/>
  <c r="H826" i="6"/>
  <c r="H818" i="6"/>
  <c r="H810" i="6"/>
  <c r="G830" i="6"/>
  <c r="G822" i="6"/>
  <c r="H833" i="6"/>
  <c r="H825" i="6"/>
  <c r="H817" i="6"/>
  <c r="H840" i="6"/>
  <c r="H832" i="6"/>
  <c r="H824" i="6"/>
  <c r="H816" i="6"/>
  <c r="H839" i="6"/>
  <c r="H30" i="8" s="1"/>
  <c r="J30" i="8" s="1"/>
  <c r="H831" i="6"/>
  <c r="H823" i="6"/>
  <c r="H815" i="6"/>
  <c r="H805" i="6"/>
  <c r="H797" i="6"/>
  <c r="H789" i="6"/>
  <c r="H781" i="6"/>
  <c r="G802" i="6"/>
  <c r="G794" i="6"/>
  <c r="G786" i="6"/>
  <c r="H804" i="6"/>
  <c r="H796" i="6"/>
  <c r="H788" i="6"/>
  <c r="H780" i="6"/>
  <c r="G809" i="6"/>
  <c r="G801" i="6"/>
  <c r="G793" i="6"/>
  <c r="G785" i="6"/>
  <c r="G808" i="6"/>
  <c r="G800" i="6"/>
  <c r="G792" i="6"/>
  <c r="G784" i="6"/>
  <c r="G807" i="6"/>
  <c r="G799" i="6"/>
  <c r="G791" i="6"/>
  <c r="G783" i="6"/>
  <c r="H775" i="6"/>
  <c r="H767" i="6"/>
  <c r="H759" i="6"/>
  <c r="H751" i="6"/>
  <c r="H774" i="6"/>
  <c r="H766" i="6"/>
  <c r="H758" i="6"/>
  <c r="H750" i="6"/>
  <c r="H773" i="6"/>
  <c r="H765" i="6"/>
  <c r="H757" i="6"/>
  <c r="H749" i="6"/>
  <c r="H772" i="6"/>
  <c r="H764" i="6"/>
  <c r="H756" i="6"/>
  <c r="H748" i="6"/>
  <c r="H771" i="6"/>
  <c r="H763" i="6"/>
  <c r="H755" i="6"/>
  <c r="H778" i="6"/>
  <c r="H770" i="6"/>
  <c r="H762" i="6"/>
  <c r="H754" i="6"/>
  <c r="H777" i="6"/>
  <c r="H769" i="6"/>
  <c r="H761" i="6"/>
  <c r="H753" i="6"/>
  <c r="H745" i="6"/>
  <c r="H737" i="6"/>
  <c r="H729" i="6"/>
  <c r="H721" i="6"/>
  <c r="G740" i="6"/>
  <c r="G732" i="6"/>
  <c r="G724" i="6"/>
  <c r="H744" i="6"/>
  <c r="H736" i="6"/>
  <c r="H728" i="6"/>
  <c r="H720" i="6"/>
  <c r="G747" i="6"/>
  <c r="G739" i="6"/>
  <c r="G731" i="6"/>
  <c r="G723" i="6"/>
  <c r="H743" i="6"/>
  <c r="H735" i="6"/>
  <c r="H27" i="8" s="1"/>
  <c r="J27" i="8" s="1"/>
  <c r="H727" i="6"/>
  <c r="H719" i="6"/>
  <c r="H742" i="6"/>
  <c r="H734" i="6"/>
  <c r="H726" i="6"/>
  <c r="H718" i="6"/>
  <c r="H716" i="6"/>
  <c r="H708" i="6"/>
  <c r="H700" i="6"/>
  <c r="H692" i="6"/>
  <c r="G710" i="6"/>
  <c r="G702" i="6"/>
  <c r="G694" i="6"/>
  <c r="G686" i="6"/>
  <c r="H715" i="6"/>
  <c r="H707" i="6"/>
  <c r="H699" i="6"/>
  <c r="H691" i="6"/>
  <c r="G709" i="6"/>
  <c r="G701" i="6"/>
  <c r="G693" i="6"/>
  <c r="H712" i="6"/>
  <c r="H26" i="8" s="1"/>
  <c r="J26" i="8" s="1"/>
  <c r="H704" i="6"/>
  <c r="H696" i="6"/>
  <c r="H688" i="6"/>
  <c r="H711" i="6"/>
  <c r="H703" i="6"/>
  <c r="H695" i="6"/>
  <c r="H687" i="6"/>
  <c r="H678" i="6"/>
  <c r="H670" i="6"/>
  <c r="H662" i="6"/>
  <c r="G682" i="6"/>
  <c r="G674" i="6"/>
  <c r="G666" i="6"/>
  <c r="G658" i="6"/>
  <c r="G25" i="8" s="1"/>
  <c r="I25" i="8" s="1"/>
  <c r="G680" i="6"/>
  <c r="G672" i="6"/>
  <c r="G664" i="6"/>
  <c r="G656" i="6"/>
  <c r="G679" i="6"/>
  <c r="G671" i="6"/>
  <c r="G663" i="6"/>
  <c r="G655" i="6"/>
  <c r="H654" i="6"/>
  <c r="H646" i="6"/>
  <c r="H638" i="6"/>
  <c r="H630" i="6"/>
  <c r="H653" i="6"/>
  <c r="H645" i="6"/>
  <c r="H637" i="6"/>
  <c r="H629" i="6"/>
  <c r="H652" i="6"/>
  <c r="H644" i="6"/>
  <c r="H636" i="6"/>
  <c r="H628" i="6"/>
  <c r="H651" i="6"/>
  <c r="H643" i="6"/>
  <c r="H635" i="6"/>
  <c r="H627" i="6"/>
  <c r="H650" i="6"/>
  <c r="H642" i="6"/>
  <c r="H634" i="6"/>
  <c r="H626" i="6"/>
  <c r="H649" i="6"/>
  <c r="H641" i="6"/>
  <c r="H633" i="6"/>
  <c r="H625" i="6"/>
  <c r="H616" i="6"/>
  <c r="H608" i="6"/>
  <c r="H600" i="6"/>
  <c r="G620" i="6"/>
  <c r="G612" i="6"/>
  <c r="G604" i="6"/>
  <c r="G596" i="6"/>
  <c r="H623" i="6"/>
  <c r="H615" i="6"/>
  <c r="H607" i="6"/>
  <c r="H599" i="6"/>
  <c r="G619" i="6"/>
  <c r="G611" i="6"/>
  <c r="G603" i="6"/>
  <c r="G595" i="6"/>
  <c r="H622" i="6"/>
  <c r="H614" i="6"/>
  <c r="H606" i="6"/>
  <c r="H598" i="6"/>
  <c r="G618" i="6"/>
  <c r="G610" i="6"/>
  <c r="G602" i="6"/>
  <c r="G594" i="6"/>
  <c r="H592" i="6"/>
  <c r="H584" i="6"/>
  <c r="H576" i="6"/>
  <c r="H568" i="6"/>
  <c r="G588" i="6"/>
  <c r="G580" i="6"/>
  <c r="G572" i="6"/>
  <c r="G564" i="6"/>
  <c r="H591" i="6"/>
  <c r="H583" i="6"/>
  <c r="H575" i="6"/>
  <c r="H567" i="6"/>
  <c r="G587" i="6"/>
  <c r="G579" i="6"/>
  <c r="G571" i="6"/>
  <c r="G563" i="6"/>
  <c r="H560" i="6"/>
  <c r="H552" i="6"/>
  <c r="H544" i="6"/>
  <c r="H536" i="6"/>
  <c r="G555" i="6"/>
  <c r="G547" i="6"/>
  <c r="G539" i="6"/>
  <c r="G531" i="6"/>
  <c r="H559" i="6"/>
  <c r="H551" i="6"/>
  <c r="H543" i="6"/>
  <c r="H535" i="6"/>
  <c r="G554" i="6"/>
  <c r="G546" i="6"/>
  <c r="G538" i="6"/>
  <c r="H556" i="6"/>
  <c r="H548" i="6"/>
  <c r="H540" i="6"/>
  <c r="H532" i="6"/>
  <c r="H530" i="6"/>
  <c r="H522" i="6"/>
  <c r="H514" i="6"/>
  <c r="H506" i="6"/>
  <c r="G524" i="6"/>
  <c r="G516" i="6"/>
  <c r="G508" i="6"/>
  <c r="G500" i="6"/>
  <c r="H529" i="6"/>
  <c r="H521" i="6"/>
  <c r="H513" i="6"/>
  <c r="H505" i="6"/>
  <c r="G523" i="6"/>
  <c r="G20" i="8" s="1"/>
  <c r="I20" i="8" s="1"/>
  <c r="G515" i="6"/>
  <c r="G507" i="6"/>
  <c r="H526" i="6"/>
  <c r="H518" i="6"/>
  <c r="H510" i="6"/>
  <c r="H502" i="6"/>
  <c r="H525" i="6"/>
  <c r="H517" i="6"/>
  <c r="H20" i="8" s="1"/>
  <c r="J20" i="8" s="1"/>
  <c r="H509" i="6"/>
  <c r="H501" i="6"/>
  <c r="H494" i="6"/>
  <c r="H486" i="6"/>
  <c r="H478" i="6"/>
  <c r="H470" i="6"/>
  <c r="H493" i="6"/>
  <c r="H485" i="6"/>
  <c r="H477" i="6"/>
  <c r="H469" i="6"/>
  <c r="G499" i="6"/>
  <c r="G491" i="6"/>
  <c r="G483" i="6"/>
  <c r="G475" i="6"/>
  <c r="G497" i="6"/>
  <c r="G489" i="6"/>
  <c r="G481" i="6"/>
  <c r="G473" i="6"/>
  <c r="G496" i="6"/>
  <c r="G488" i="6"/>
  <c r="G480" i="6"/>
  <c r="G472" i="6"/>
  <c r="G495" i="6"/>
  <c r="G487" i="6"/>
  <c r="G479" i="6"/>
  <c r="G471" i="6"/>
  <c r="H450" i="6"/>
  <c r="H442" i="6"/>
  <c r="H467" i="6"/>
  <c r="H468" i="6"/>
  <c r="H460" i="6"/>
  <c r="H452" i="6"/>
  <c r="H444" i="6"/>
  <c r="G462" i="6"/>
  <c r="G454" i="6"/>
  <c r="G446" i="6"/>
  <c r="H459" i="6"/>
  <c r="H451" i="6"/>
  <c r="H443" i="6"/>
  <c r="G461" i="6"/>
  <c r="G453" i="6"/>
  <c r="G445" i="6"/>
  <c r="G18" i="8" s="1"/>
  <c r="I18" i="8" s="1"/>
  <c r="H465" i="6"/>
  <c r="H457" i="6"/>
  <c r="H449" i="6"/>
  <c r="H441" i="6"/>
  <c r="H464" i="6"/>
  <c r="H456" i="6"/>
  <c r="H448" i="6"/>
  <c r="H440" i="6"/>
  <c r="H18" i="8" s="1"/>
  <c r="J18" i="8" s="1"/>
  <c r="H463" i="6"/>
  <c r="H455" i="6"/>
  <c r="H447" i="6"/>
  <c r="H439" i="6"/>
  <c r="H438" i="6"/>
  <c r="H432" i="6"/>
  <c r="H431" i="6"/>
  <c r="H424" i="6"/>
  <c r="H423" i="6"/>
  <c r="H416" i="6"/>
  <c r="H415" i="6"/>
  <c r="H430" i="6"/>
  <c r="H422" i="6"/>
  <c r="H414" i="6"/>
  <c r="H437" i="6"/>
  <c r="H429" i="6"/>
  <c r="H421" i="6"/>
  <c r="H413" i="6"/>
  <c r="H436" i="6"/>
  <c r="H428" i="6"/>
  <c r="H420" i="6"/>
  <c r="H412" i="6"/>
  <c r="H435" i="6"/>
  <c r="H427" i="6"/>
  <c r="H419" i="6"/>
  <c r="H411" i="6"/>
  <c r="H434" i="6"/>
  <c r="H426" i="6"/>
  <c r="H418" i="6"/>
  <c r="H17" i="8" s="1"/>
  <c r="J17" i="8" s="1"/>
  <c r="H410" i="6"/>
  <c r="H433" i="6"/>
  <c r="H425" i="6"/>
  <c r="H417" i="6"/>
  <c r="H409" i="6"/>
  <c r="H408" i="6"/>
  <c r="G407" i="6"/>
  <c r="G406" i="6"/>
  <c r="G405" i="6"/>
  <c r="G403" i="6"/>
  <c r="H400" i="6"/>
  <c r="G395" i="6"/>
  <c r="H392" i="6"/>
  <c r="G387" i="6"/>
  <c r="H384" i="6"/>
  <c r="G379" i="6"/>
  <c r="H376" i="6"/>
  <c r="H399" i="6"/>
  <c r="H391" i="6"/>
  <c r="H383" i="6"/>
  <c r="H375" i="6"/>
  <c r="H353" i="6"/>
  <c r="G402" i="6"/>
  <c r="G394" i="6"/>
  <c r="G386" i="6"/>
  <c r="G378" i="6"/>
  <c r="H354" i="6"/>
  <c r="H398" i="6"/>
  <c r="H390" i="6"/>
  <c r="H382" i="6"/>
  <c r="H370" i="6"/>
  <c r="H352" i="6"/>
  <c r="G401" i="6"/>
  <c r="G393" i="6"/>
  <c r="G385" i="6"/>
  <c r="G377" i="6"/>
  <c r="H397" i="6"/>
  <c r="H389" i="6"/>
  <c r="H381" i="6"/>
  <c r="H369" i="6"/>
  <c r="H404" i="6"/>
  <c r="H396" i="6"/>
  <c r="H388" i="6"/>
  <c r="H380" i="6"/>
  <c r="H368" i="6"/>
  <c r="H362" i="6"/>
  <c r="G373" i="6"/>
  <c r="H361" i="6"/>
  <c r="G365" i="6"/>
  <c r="H360" i="6"/>
  <c r="G357" i="6"/>
  <c r="H342" i="6"/>
  <c r="H334" i="6"/>
  <c r="H333" i="6"/>
  <c r="G349" i="6"/>
  <c r="H326" i="6"/>
  <c r="G343" i="6"/>
  <c r="G14" i="8" s="1"/>
  <c r="I14" i="8" s="1"/>
  <c r="H325" i="6"/>
  <c r="H315" i="6"/>
  <c r="G364" i="6"/>
  <c r="G356" i="6"/>
  <c r="G355" i="6"/>
  <c r="H367" i="6"/>
  <c r="H359" i="6"/>
  <c r="H351" i="6"/>
  <c r="H15" i="8" s="1"/>
  <c r="J15" i="8" s="1"/>
  <c r="G363" i="6"/>
  <c r="H374" i="6"/>
  <c r="H366" i="6"/>
  <c r="H358" i="6"/>
  <c r="H350" i="6"/>
  <c r="G371" i="6"/>
  <c r="G372" i="6"/>
  <c r="G348" i="6"/>
  <c r="G347" i="6"/>
  <c r="G346" i="6"/>
  <c r="G345" i="6"/>
  <c r="H341" i="6"/>
  <c r="H340" i="6"/>
  <c r="H344" i="6"/>
  <c r="H320" i="6"/>
  <c r="H336" i="6"/>
  <c r="H328" i="6"/>
  <c r="H335" i="6"/>
  <c r="H327" i="6"/>
  <c r="H317" i="6"/>
  <c r="H332" i="6"/>
  <c r="H324" i="6"/>
  <c r="H14" i="8" s="1"/>
  <c r="J14" i="8" s="1"/>
  <c r="H339" i="6"/>
  <c r="H331" i="6"/>
  <c r="H323" i="6"/>
  <c r="H338" i="6"/>
  <c r="H330" i="6"/>
  <c r="H322" i="6"/>
  <c r="H337" i="6"/>
  <c r="H329" i="6"/>
  <c r="H321" i="6"/>
  <c r="H307" i="6"/>
  <c r="G311" i="6"/>
  <c r="H296" i="6"/>
  <c r="G314" i="6"/>
  <c r="G306" i="6"/>
  <c r="G298" i="6"/>
  <c r="G290" i="6"/>
  <c r="H253" i="6"/>
  <c r="G285" i="6"/>
  <c r="G258" i="6"/>
  <c r="H261" i="6"/>
  <c r="H277" i="6"/>
  <c r="G282" i="6"/>
  <c r="H271" i="6"/>
  <c r="G274" i="6"/>
  <c r="H269" i="6"/>
  <c r="G266" i="6"/>
  <c r="H263" i="6"/>
  <c r="H255" i="6"/>
  <c r="G281" i="6"/>
  <c r="G273" i="6"/>
  <c r="G265" i="6"/>
  <c r="G257" i="6"/>
  <c r="H284" i="6"/>
  <c r="H13" i="8" s="1"/>
  <c r="J13" i="8" s="1"/>
  <c r="H276" i="6"/>
  <c r="H268" i="6"/>
  <c r="H260" i="6"/>
  <c r="G280" i="6"/>
  <c r="G272" i="6"/>
  <c r="G264" i="6"/>
  <c r="G256" i="6"/>
  <c r="G12" i="8" s="1"/>
  <c r="I12" i="8" s="1"/>
  <c r="H283" i="6"/>
  <c r="H275" i="6"/>
  <c r="H267" i="6"/>
  <c r="H259" i="6"/>
  <c r="G279" i="6"/>
  <c r="G278" i="6"/>
  <c r="G270" i="6"/>
  <c r="G262" i="6"/>
  <c r="G254" i="6"/>
  <c r="H252" i="6"/>
  <c r="G240" i="6"/>
  <c r="H223" i="6"/>
  <c r="G239" i="6"/>
  <c r="H248" i="6"/>
  <c r="G232" i="6"/>
  <c r="G231" i="6"/>
  <c r="G246" i="6"/>
  <c r="G238" i="6"/>
  <c r="G11" i="8" s="1"/>
  <c r="I11" i="8" s="1"/>
  <c r="G230" i="6"/>
  <c r="G245" i="6"/>
  <c r="G237" i="6"/>
  <c r="G229" i="6"/>
  <c r="G244" i="6"/>
  <c r="G236" i="6"/>
  <c r="G228" i="6"/>
  <c r="G251" i="6"/>
  <c r="G243" i="6"/>
  <c r="G235" i="6"/>
  <c r="G227" i="6"/>
  <c r="G250" i="6"/>
  <c r="G242" i="6"/>
  <c r="G234" i="6"/>
  <c r="G226" i="6"/>
  <c r="G249" i="6"/>
  <c r="G241" i="6"/>
  <c r="G233" i="6"/>
  <c r="G225" i="6"/>
  <c r="G222" i="6"/>
  <c r="H221" i="6"/>
  <c r="H213" i="6"/>
  <c r="H205" i="6"/>
  <c r="G210" i="6"/>
  <c r="G219" i="6"/>
  <c r="G218" i="6"/>
  <c r="H220" i="6"/>
  <c r="G217" i="6"/>
  <c r="G216" i="6"/>
  <c r="G215" i="6"/>
  <c r="G214" i="6"/>
  <c r="G209" i="6"/>
  <c r="H212" i="6"/>
  <c r="H199" i="6"/>
  <c r="G208" i="6"/>
  <c r="H211" i="6"/>
  <c r="G207" i="6"/>
  <c r="G206" i="6"/>
  <c r="G192" i="6"/>
  <c r="G160" i="6"/>
  <c r="H167" i="6"/>
  <c r="H166" i="6"/>
  <c r="G184" i="6"/>
  <c r="G183" i="6"/>
  <c r="G176" i="6"/>
  <c r="G175" i="6"/>
  <c r="H182" i="6"/>
  <c r="G168" i="6"/>
  <c r="H174" i="6"/>
  <c r="H191" i="6"/>
  <c r="H190" i="6"/>
  <c r="H198" i="6"/>
  <c r="G200" i="6"/>
  <c r="G10" i="8" s="1"/>
  <c r="I10" i="8" s="1"/>
  <c r="G202" i="6"/>
  <c r="G194" i="6"/>
  <c r="G186" i="6"/>
  <c r="G178" i="6"/>
  <c r="G170" i="6"/>
  <c r="G162" i="6"/>
  <c r="H201" i="6"/>
  <c r="H193" i="6"/>
  <c r="H10" i="8" s="1"/>
  <c r="J10" i="8" s="1"/>
  <c r="H185" i="6"/>
  <c r="H177" i="6"/>
  <c r="H169" i="6"/>
  <c r="H161" i="6"/>
  <c r="H197" i="6"/>
  <c r="H189" i="6"/>
  <c r="H181" i="6"/>
  <c r="H173" i="6"/>
  <c r="H165" i="6"/>
  <c r="H204" i="6"/>
  <c r="H196" i="6"/>
  <c r="H188" i="6"/>
  <c r="H180" i="6"/>
  <c r="H172" i="6"/>
  <c r="H164" i="6"/>
  <c r="H203" i="6"/>
  <c r="H195" i="6"/>
  <c r="H187" i="6"/>
  <c r="H179" i="6"/>
  <c r="H171" i="6"/>
  <c r="H163" i="6"/>
  <c r="G132" i="6"/>
  <c r="H130" i="6"/>
  <c r="H129" i="6"/>
  <c r="G139" i="6"/>
  <c r="G131" i="6"/>
  <c r="H154" i="6"/>
  <c r="G156" i="6"/>
  <c r="H153" i="6"/>
  <c r="G155" i="6"/>
  <c r="H146" i="6"/>
  <c r="G148" i="6"/>
  <c r="H145" i="6"/>
  <c r="G147" i="6"/>
  <c r="H138" i="6"/>
  <c r="G140" i="6"/>
  <c r="H137" i="6"/>
  <c r="H152" i="6"/>
  <c r="H144" i="6"/>
  <c r="H136" i="6"/>
  <c r="H159" i="6"/>
  <c r="H151" i="6"/>
  <c r="H143" i="6"/>
  <c r="H135" i="6"/>
  <c r="H158" i="6"/>
  <c r="H150" i="6"/>
  <c r="H142" i="6"/>
  <c r="H134" i="6"/>
  <c r="H157" i="6"/>
  <c r="H149" i="6"/>
  <c r="H141" i="6"/>
  <c r="H133" i="6"/>
  <c r="H128" i="6"/>
  <c r="G115" i="6"/>
  <c r="H109" i="6"/>
  <c r="G117" i="6"/>
  <c r="G103" i="6"/>
  <c r="H101" i="6"/>
  <c r="H97" i="6"/>
  <c r="G111" i="6"/>
  <c r="G120" i="6"/>
  <c r="G7" i="8" s="1"/>
  <c r="H104" i="6"/>
  <c r="G119" i="6"/>
  <c r="G112" i="6"/>
  <c r="G73" i="6"/>
  <c r="G88" i="6"/>
  <c r="H89" i="6"/>
  <c r="H92" i="6"/>
  <c r="H68" i="6"/>
  <c r="H76" i="6"/>
  <c r="G96" i="6"/>
  <c r="G69" i="6"/>
  <c r="G77" i="6"/>
  <c r="G85" i="6"/>
  <c r="H66" i="6"/>
  <c r="H65" i="6"/>
  <c r="G59" i="6"/>
  <c r="H63" i="6"/>
  <c r="G64" i="6"/>
  <c r="G61" i="6"/>
  <c r="G60" i="6"/>
  <c r="G58" i="6"/>
  <c r="H57" i="6"/>
  <c r="H56" i="6"/>
  <c r="H55" i="6"/>
  <c r="H118" i="6"/>
  <c r="H110" i="6"/>
  <c r="H102" i="6"/>
  <c r="H94" i="6"/>
  <c r="H86" i="6"/>
  <c r="H78" i="6"/>
  <c r="H70" i="6"/>
  <c r="H62" i="6"/>
  <c r="H11" i="8"/>
  <c r="J11" i="8" s="1"/>
  <c r="H12" i="8"/>
  <c r="J12" i="8" s="1"/>
  <c r="H16" i="8"/>
  <c r="J16" i="8" s="1"/>
  <c r="H19" i="8"/>
  <c r="J19" i="8" s="1"/>
  <c r="H23" i="8"/>
  <c r="J23" i="8" s="1"/>
  <c r="H25" i="8"/>
  <c r="J25" i="8" s="1"/>
  <c r="H28" i="8"/>
  <c r="J28" i="8" s="1"/>
  <c r="H29" i="8"/>
  <c r="J29" i="8" s="1"/>
  <c r="G8" i="8"/>
  <c r="I8" i="8" s="1"/>
  <c r="G13" i="8"/>
  <c r="I13" i="8" s="1"/>
  <c r="G15" i="8"/>
  <c r="I15" i="8" s="1"/>
  <c r="G16" i="8"/>
  <c r="I16" i="8" s="1"/>
  <c r="G17" i="8"/>
  <c r="I17" i="8" s="1"/>
  <c r="G19" i="8"/>
  <c r="I19" i="8" s="1"/>
  <c r="G26" i="8"/>
  <c r="I26" i="8" s="1"/>
  <c r="G27" i="8"/>
  <c r="I27" i="8" s="1"/>
  <c r="G28" i="8"/>
  <c r="I28" i="8" s="1"/>
  <c r="G29" i="8"/>
  <c r="I29" i="8" s="1"/>
  <c r="G30" i="8"/>
  <c r="I30" i="8" s="1"/>
  <c r="G31" i="8"/>
  <c r="I31" i="8" s="1"/>
  <c r="G4" i="8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4" i="6"/>
  <c r="C5" i="10"/>
  <c r="C6" i="10"/>
  <c r="C7" i="10"/>
  <c r="C8" i="10"/>
  <c r="C9" i="10"/>
  <c r="C4" i="10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24" i="6"/>
  <c r="C25" i="6"/>
  <c r="C26" i="6"/>
  <c r="C27" i="6"/>
  <c r="C28" i="6"/>
  <c r="C29" i="6"/>
  <c r="C30" i="6"/>
  <c r="C31" i="6"/>
  <c r="C32" i="6"/>
  <c r="C33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34" i="6"/>
  <c r="B26" i="6"/>
  <c r="B27" i="6"/>
  <c r="B28" i="6"/>
  <c r="B29" i="6"/>
  <c r="B30" i="6"/>
  <c r="B31" i="6"/>
  <c r="B32" i="6"/>
  <c r="B33" i="6"/>
  <c r="B25" i="6"/>
  <c r="B24" i="6"/>
  <c r="B23" i="6"/>
  <c r="H24" i="8" l="1"/>
  <c r="J24" i="8" s="1"/>
  <c r="G21" i="8"/>
  <c r="I21" i="8" s="1"/>
  <c r="G23" i="8"/>
  <c r="I23" i="8" s="1"/>
  <c r="G22" i="8"/>
  <c r="I22" i="8" s="1"/>
  <c r="H22" i="8"/>
  <c r="J22" i="8" s="1"/>
  <c r="H21" i="8"/>
  <c r="J21" i="8" s="1"/>
  <c r="H9" i="8"/>
  <c r="J9" i="8" s="1"/>
  <c r="G9" i="8"/>
  <c r="I9" i="8" s="1"/>
  <c r="H8" i="8"/>
  <c r="J8" i="8" s="1"/>
  <c r="H7" i="8"/>
  <c r="J7" i="8" s="1"/>
  <c r="G6" i="8"/>
  <c r="H6" i="8"/>
  <c r="J6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B10" i="6"/>
  <c r="C10" i="6"/>
  <c r="I10" i="6"/>
  <c r="I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4" i="8" s="1"/>
  <c r="I35" i="6"/>
  <c r="I36" i="6"/>
  <c r="I37" i="6"/>
  <c r="I38" i="6"/>
  <c r="I39" i="6"/>
  <c r="I5" i="6"/>
  <c r="I6" i="6"/>
  <c r="I7" i="6"/>
  <c r="I8" i="6"/>
  <c r="I4" i="6"/>
  <c r="C5" i="6"/>
  <c r="C6" i="6"/>
  <c r="C7" i="6"/>
  <c r="C8" i="6"/>
  <c r="C9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4" i="6"/>
  <c r="B5" i="6"/>
  <c r="B6" i="6"/>
  <c r="B7" i="6"/>
  <c r="B8" i="6"/>
  <c r="B9" i="6"/>
  <c r="B11" i="6"/>
  <c r="B12" i="6"/>
  <c r="B13" i="6"/>
  <c r="B14" i="6"/>
  <c r="B15" i="6"/>
  <c r="B16" i="6"/>
  <c r="B17" i="6"/>
  <c r="B18" i="6"/>
  <c r="B19" i="6"/>
  <c r="B20" i="6"/>
  <c r="B21" i="6"/>
  <c r="B22" i="6"/>
  <c r="B4" i="6"/>
  <c r="AI10" i="5"/>
  <c r="AI9" i="5"/>
  <c r="AI8" i="5"/>
  <c r="AJ8" i="5"/>
  <c r="AI4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J4" i="5"/>
  <c r="AJ5" i="5"/>
  <c r="AJ6" i="5"/>
  <c r="AJ7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I5" i="5"/>
  <c r="AI6" i="5"/>
  <c r="AI7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" i="5"/>
  <c r="AK3" i="5"/>
  <c r="H52" i="6" l="1"/>
  <c r="G52" i="6"/>
  <c r="G51" i="6"/>
  <c r="H51" i="6"/>
  <c r="H48" i="6"/>
  <c r="G48" i="6"/>
  <c r="H54" i="6"/>
  <c r="G54" i="6"/>
  <c r="G50" i="6"/>
  <c r="H50" i="6"/>
  <c r="G49" i="6"/>
  <c r="H49" i="6"/>
  <c r="H53" i="6"/>
  <c r="G53" i="6"/>
  <c r="H46" i="6"/>
  <c r="G46" i="6"/>
  <c r="G45" i="6"/>
  <c r="H45" i="6"/>
  <c r="H47" i="6"/>
  <c r="G47" i="6"/>
  <c r="H42" i="6"/>
  <c r="G42" i="6"/>
  <c r="G41" i="6"/>
  <c r="H41" i="6"/>
  <c r="G40" i="6"/>
  <c r="H40" i="6"/>
  <c r="H38" i="6"/>
  <c r="G38" i="6"/>
  <c r="H37" i="6"/>
  <c r="G37" i="6"/>
  <c r="H44" i="6"/>
  <c r="G44" i="6"/>
  <c r="H36" i="6"/>
  <c r="G36" i="6"/>
  <c r="G43" i="6"/>
  <c r="H43" i="6"/>
  <c r="F5" i="8"/>
  <c r="G39" i="6"/>
  <c r="H39" i="6"/>
  <c r="D5" i="8"/>
  <c r="E5" i="8"/>
  <c r="K13" i="8"/>
  <c r="K21" i="8"/>
  <c r="K31" i="8"/>
  <c r="I6" i="8"/>
  <c r="K6" i="8" s="1"/>
  <c r="K14" i="8"/>
  <c r="K22" i="8"/>
  <c r="I7" i="8"/>
  <c r="K7" i="8" s="1"/>
  <c r="K15" i="8"/>
  <c r="K23" i="8"/>
  <c r="K8" i="8"/>
  <c r="K16" i="8"/>
  <c r="K24" i="8"/>
  <c r="K9" i="8"/>
  <c r="K17" i="8"/>
  <c r="K25" i="8"/>
  <c r="K10" i="8"/>
  <c r="K18" i="8"/>
  <c r="K26" i="8"/>
  <c r="K11" i="8"/>
  <c r="K19" i="8"/>
  <c r="K27" i="8"/>
  <c r="K30" i="8"/>
  <c r="K12" i="8"/>
  <c r="K20" i="8"/>
  <c r="K28" i="8"/>
  <c r="K29" i="8"/>
  <c r="H4" i="8"/>
  <c r="J4" i="8" s="1"/>
  <c r="K4" i="8" s="1"/>
  <c r="D4" i="8"/>
  <c r="F4" i="8"/>
  <c r="E4" i="8"/>
  <c r="AJ3" i="5"/>
  <c r="G5" i="8" l="1"/>
  <c r="I5" i="8" s="1"/>
  <c r="H5" i="8"/>
  <c r="J5" i="8" s="1"/>
  <c r="K5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AD6F65-5AF1-40FD-86D2-CD8BEA938494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5156693-119C-49FF-A3DE-4354C618D42E}" name="WorksheetConnection_Monthly emp tracker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Monthlyemptracker.xlsxTable1"/>
        </x15:connection>
      </ext>
    </extLst>
  </connection>
  <connection id="3" xr16:uid="{570EE3A2-CEE7-4CB8-AD2C-F32DD522FCD7}" name="WorksheetConnection_Monthly emp tracker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Monthlyemptracker.xlsxTable2"/>
        </x15:connection>
      </ext>
    </extLst>
  </connection>
  <connection id="4" xr16:uid="{7D73BA3C-DDEE-46E8-A7F9-1170746A7B16}" name="WorksheetConnection_Monthly emp tracker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Monthlyemptracker.xlsxTable3"/>
        </x15:connection>
      </ext>
    </extLst>
  </connection>
</connections>
</file>

<file path=xl/sharedStrings.xml><?xml version="1.0" encoding="utf-8"?>
<sst xmlns="http://schemas.openxmlformats.org/spreadsheetml/2006/main" count="1140" uniqueCount="176">
  <si>
    <t>Employee Name</t>
  </si>
  <si>
    <t>Department</t>
  </si>
  <si>
    <t>Present</t>
  </si>
  <si>
    <t>Absent</t>
  </si>
  <si>
    <t>Leave</t>
  </si>
  <si>
    <t>aman</t>
  </si>
  <si>
    <t>labour</t>
  </si>
  <si>
    <t>P</t>
  </si>
  <si>
    <t>L</t>
  </si>
  <si>
    <t>A</t>
  </si>
  <si>
    <t>anas</t>
  </si>
  <si>
    <t>supervisor</t>
  </si>
  <si>
    <t>axam</t>
  </si>
  <si>
    <t>labor</t>
  </si>
  <si>
    <t xml:space="preserve">ahil </t>
  </si>
  <si>
    <t>nikhil</t>
  </si>
  <si>
    <t xml:space="preserve">vikas </t>
  </si>
  <si>
    <t>manager</t>
  </si>
  <si>
    <t>khan</t>
  </si>
  <si>
    <t>worker</t>
  </si>
  <si>
    <t>raja</t>
  </si>
  <si>
    <t>tecaher</t>
  </si>
  <si>
    <t>suresh</t>
  </si>
  <si>
    <t>it</t>
  </si>
  <si>
    <t>akash</t>
  </si>
  <si>
    <t>hr</t>
  </si>
  <si>
    <t>kanha</t>
  </si>
  <si>
    <t>doctot</t>
  </si>
  <si>
    <t>jain</t>
  </si>
  <si>
    <t>lawyer</t>
  </si>
  <si>
    <t>gai</t>
  </si>
  <si>
    <t>judge</t>
  </si>
  <si>
    <t>kala</t>
  </si>
  <si>
    <t>kaka</t>
  </si>
  <si>
    <t>manish</t>
  </si>
  <si>
    <t>naresh</t>
  </si>
  <si>
    <t>subash</t>
  </si>
  <si>
    <t>salaman</t>
  </si>
  <si>
    <t>suhail</t>
  </si>
  <si>
    <t>taimur alex</t>
  </si>
  <si>
    <t>alexa</t>
  </si>
  <si>
    <t>Emp ID</t>
  </si>
  <si>
    <t>Day
(1-31)</t>
  </si>
  <si>
    <t>Check-In
(HH:MM)</t>
  </si>
  <si>
    <t>Check-Out
(HH:MM)</t>
  </si>
  <si>
    <t>Hours
Worked</t>
  </si>
  <si>
    <t>Status</t>
  </si>
  <si>
    <t>Employee
Name</t>
  </si>
  <si>
    <t>Present
Days</t>
  </si>
  <si>
    <t>Leave
Days</t>
  </si>
  <si>
    <t>Absent
Days</t>
  </si>
  <si>
    <t>Base Present
Hrs (≤8/day)</t>
  </si>
  <si>
    <t>Overtime Hrs
(&gt;8/day)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</si>
  <si>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</si>
  <si>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</si>
  <si>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</si>
  <si>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</si>
  <si>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</si>
  <si>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</si>
  <si>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</si>
  <si>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</si>
  <si>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</si>
  <si>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</si>
  <si>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</si>
  <si>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</si>
  <si>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</si>
  <si>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</si>
  <si>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</si>
  <si>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</si>
  <si>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</si>
  <si>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</si>
  <si>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</si>
  <si>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</si>
  <si>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</si>
  <si>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</si>
  <si>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</si>
  <si>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</si>
  <si>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</si>
  <si>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</si>
  <si>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</si>
  <si>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</si>
  <si>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</si>
  <si>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</si>
  <si>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</si>
  <si>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</si>
  <si>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</si>
  <si>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</si>
  <si>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</si>
  <si>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</si>
  <si>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</si>
  <si>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</si>
  <si>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</si>
  <si>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</si>
  <si>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</si>
  <si>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</si>
  <si>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</si>
  <si>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</si>
  <si>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</si>
  <si>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</si>
  <si>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</si>
  <si>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EmpID</t>
  </si>
  <si>
    <t>Name</t>
  </si>
  <si>
    <t>Dept</t>
  </si>
  <si>
    <t>EMPID</t>
  </si>
  <si>
    <t>Depatment</t>
  </si>
  <si>
    <t>OT HOURS</t>
  </si>
  <si>
    <t xml:space="preserve"> Amit</t>
  </si>
  <si>
    <t xml:space="preserve"> Ravi</t>
  </si>
  <si>
    <t xml:space="preserve"> Neha</t>
  </si>
  <si>
    <t xml:space="preserve"> Priya</t>
  </si>
  <si>
    <t xml:space="preserve"> Rohit</t>
  </si>
  <si>
    <t xml:space="preserve"> Anjali</t>
  </si>
  <si>
    <t xml:space="preserve"> Vikas</t>
  </si>
  <si>
    <t xml:space="preserve"> Pooja</t>
  </si>
  <si>
    <t xml:space="preserve"> Arjun</t>
  </si>
  <si>
    <t xml:space="preserve"> Sneha</t>
  </si>
  <si>
    <t xml:space="preserve"> Karan</t>
  </si>
  <si>
    <t xml:space="preserve"> Simran</t>
  </si>
  <si>
    <t xml:space="preserve"> Rahul</t>
  </si>
  <si>
    <t xml:space="preserve"> Kavita</t>
  </si>
  <si>
    <t xml:space="preserve"> Mohit</t>
  </si>
  <si>
    <t xml:space="preserve"> Nisha</t>
  </si>
  <si>
    <t xml:space="preserve"> Deepak</t>
  </si>
  <si>
    <t xml:space="preserve"> Ayesha</t>
  </si>
  <si>
    <t xml:space="preserve"> Suresh</t>
  </si>
  <si>
    <t xml:space="preserve"> Meena</t>
  </si>
  <si>
    <t xml:space="preserve"> Akash</t>
  </si>
  <si>
    <t xml:space="preserve"> Ritu</t>
  </si>
  <si>
    <t xml:space="preserve"> Manish</t>
  </si>
  <si>
    <t xml:space="preserve"> Komal</t>
  </si>
  <si>
    <t xml:space="preserve"> Varun</t>
  </si>
  <si>
    <t xml:space="preserve"> Sonia</t>
  </si>
  <si>
    <t xml:space="preserve"> Ajay</t>
  </si>
  <si>
    <t xml:space="preserve"> Preeti</t>
  </si>
  <si>
    <t>Management</t>
  </si>
  <si>
    <t>HR</t>
  </si>
  <si>
    <t>Finance</t>
  </si>
  <si>
    <t>IT</t>
  </si>
  <si>
    <t>Sales</t>
  </si>
  <si>
    <t>Operations</t>
  </si>
  <si>
    <t>Hourly rate (Rupees)</t>
  </si>
  <si>
    <t>Overtime rate</t>
  </si>
  <si>
    <t>OT salary</t>
  </si>
  <si>
    <t>Total Salary</t>
  </si>
  <si>
    <t>Base salary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</si>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</sst>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hh:mm"/>
    <numFmt numFmtId="165" formatCode="[h]:mm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1"/>
      <color theme="0"/>
      <name val="Calibri"/>
      <family val="2"/>
      <charset val="1"/>
    </font>
    <font>
      <b/>
      <sz val="12"/>
      <color theme="0"/>
      <name val="Calibri"/>
      <family val="2"/>
    </font>
    <font>
      <b/>
      <sz val="10"/>
      <color rgb="FFFFFFFF"/>
      <name val="Arial"/>
      <family val="2"/>
    </font>
    <font>
      <sz val="14"/>
      <color theme="1"/>
      <name val="Calibri"/>
      <family val="2"/>
      <charset val="1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/>
    <xf numFmtId="0" fontId="4" fillId="2" borderId="3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5" fontId="0" fillId="0" borderId="0" xfId="0" applyNumberFormat="1" applyAlignme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44" fontId="0" fillId="0" borderId="0" xfId="0" applyNumberFormat="1"/>
    <xf numFmtId="20" fontId="0" fillId="0" borderId="0" xfId="0" applyNumberFormat="1" applyAlignment="1">
      <alignment horizontal="center"/>
    </xf>
    <xf numFmtId="0" fontId="0" fillId="0" borderId="0" xfId="0" applyAlignment="1"/>
    <xf numFmtId="165" fontId="0" fillId="0" borderId="0" xfId="0" applyNumberFormat="1"/>
    <xf numFmtId="0" fontId="0" fillId="0" borderId="4" xfId="0" applyBorder="1"/>
    <xf numFmtId="0" fontId="0" fillId="0" borderId="5" xfId="0" applyBorder="1"/>
    <xf numFmtId="0" fontId="3" fillId="4" borderId="6" xfId="0" applyFont="1" applyFill="1" applyBorder="1"/>
    <xf numFmtId="0" fontId="3" fillId="4" borderId="7" xfId="0" applyFont="1" applyFill="1" applyBorder="1"/>
    <xf numFmtId="0" fontId="2" fillId="3" borderId="7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1"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165" formatCode="[h]:mm"/>
      <alignment horizontal="general" vertical="bottom" textRotation="0" wrapText="0" indent="0" justifyLastLine="0" shrinkToFit="0" readingOrder="0"/>
    </dxf>
    <dxf>
      <numFmt numFmtId="165" formatCode="[h]:mm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7562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numFmt numFmtId="164" formatCode="hh:mm"/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7562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C000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FC"/>
      <rgbColor rgb="FF4F81BD"/>
      <rgbColor rgb="FF9999FF"/>
      <rgbColor rgb="FFC0504D"/>
      <rgbColor rgb="FFFFF2CC"/>
      <rgbColor rgb="FFC9F0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D9E1F2"/>
      <rgbColor rgb="FFFF99CC"/>
      <rgbColor rgb="FFCC99FF"/>
      <rgbColor rgb="FFFCE4D6"/>
      <rgbColor rgb="FF3366FF"/>
      <rgbColor rgb="FF4BACC6"/>
      <rgbColor rgb="FF99CC00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367C2-1625-4E77-A6FA-FA3FDE7C1B22}" name="Table1" displayName="Table1" ref="A2:AK30" totalsRowShown="0" headerRowDxfId="60" headerRowBorderDxfId="59" tableBorderDxfId="58" totalsRowBorderDxfId="57">
  <tableColumns count="37">
    <tableColumn id="1" xr3:uid="{8F481909-9EA8-4C91-A267-579B4C59E4D2}" name="EMPID" dataDxfId="56"/>
    <tableColumn id="2" xr3:uid="{2C68E627-4708-48E0-8A12-F180DDA25D31}" name="Name" dataDxfId="55"/>
    <tableColumn id="3" xr3:uid="{8AFEEFED-34BE-4CD8-95D4-AB67027DB237}" name="Department" dataDxfId="54"/>
    <tableColumn id="4" xr3:uid="{7414431C-34C3-4ED5-9BC7-7EA0D64EB5F1}" name="1" dataDxfId="53"/>
    <tableColumn id="5" xr3:uid="{C4B411DC-0D5E-4779-9575-3D52FCB84B09}" name="2" dataDxfId="52"/>
    <tableColumn id="6" xr3:uid="{E4BEB022-EF66-431E-85DB-6378EE8B6B38}" name="3" dataDxfId="51"/>
    <tableColumn id="7" xr3:uid="{E7214F82-2ACB-4473-A96F-C6E0787EBAC9}" name="4" dataDxfId="50"/>
    <tableColumn id="8" xr3:uid="{AD70DAF8-9FC1-46B6-ACD2-A2DBAC1980E8}" name="5" dataDxfId="49"/>
    <tableColumn id="9" xr3:uid="{0850E3D6-A537-42BD-BCDF-A7DEBE42AC1B}" name="6" dataDxfId="48"/>
    <tableColumn id="10" xr3:uid="{9CE4F88D-0596-4B0A-A84E-8F8F2817F12A}" name="7" dataDxfId="47"/>
    <tableColumn id="11" xr3:uid="{5FBE2AE8-EE42-4B78-9221-61B85C23AE6A}" name="8" dataDxfId="46"/>
    <tableColumn id="12" xr3:uid="{7D28731A-5DBC-41ED-AE02-420F17807B60}" name="9" dataDxfId="45"/>
    <tableColumn id="13" xr3:uid="{48418A21-0967-48C9-921A-3AE773B6C89F}" name="10" dataDxfId="44"/>
    <tableColumn id="14" xr3:uid="{B544122D-A347-494E-84B0-22E2E3E15B1D}" name="11" dataDxfId="43"/>
    <tableColumn id="15" xr3:uid="{4F46407D-AC0F-4D62-ACA0-987100C9A36C}" name="12" dataDxfId="42"/>
    <tableColumn id="16" xr3:uid="{BA4D4AF1-D9F2-4AF0-89E2-2EFBCCD931FB}" name="13" dataDxfId="41"/>
    <tableColumn id="17" xr3:uid="{58163452-70DA-48C3-927E-99EB7FBB4B33}" name="14" dataDxfId="40"/>
    <tableColumn id="18" xr3:uid="{C3B560DD-A4C2-4FC0-AE60-3DA942C59652}" name="15" dataDxfId="39"/>
    <tableColumn id="19" xr3:uid="{D1F3BA91-92BE-463A-A983-B0095864F8A9}" name="16" dataDxfId="38"/>
    <tableColumn id="20" xr3:uid="{3ADAB5C1-DCA9-448F-A5D1-88C5833F000B}" name="17" dataDxfId="37"/>
    <tableColumn id="21" xr3:uid="{214B8861-E1E3-45F5-895D-310CE6E1C6EA}" name="18" dataDxfId="36"/>
    <tableColumn id="22" xr3:uid="{14AC5471-57A6-494B-9C1B-B88AC7FA04CB}" name="19" dataDxfId="35"/>
    <tableColumn id="23" xr3:uid="{C749DD51-A9C5-40F9-B88D-A7DB33A60734}" name="20" dataDxfId="34"/>
    <tableColumn id="24" xr3:uid="{353CACAB-B238-4010-8A78-4CE2322E0530}" name="21" dataDxfId="33"/>
    <tableColumn id="25" xr3:uid="{7817ADD3-23DB-4F9D-95FD-B919A3C52BC7}" name="22" dataDxfId="32"/>
    <tableColumn id="26" xr3:uid="{E2C0AF72-E847-4E9A-9B12-69672217359E}" name="23" dataDxfId="31"/>
    <tableColumn id="27" xr3:uid="{6E90BA47-0037-42D0-A48B-428CA8201288}" name="24" dataDxfId="30"/>
    <tableColumn id="28" xr3:uid="{B47CBF47-B8AB-4140-A9B4-324D63FBDE3F}" name="25" dataDxfId="29"/>
    <tableColumn id="29" xr3:uid="{E28A77FF-D37B-4F6C-B0F1-B43BF85AEEAD}" name="26" dataDxfId="28"/>
    <tableColumn id="30" xr3:uid="{8943C47C-C084-4EA1-896A-9F8C0AA6C948}" name="27" dataDxfId="27"/>
    <tableColumn id="31" xr3:uid="{EA02B481-404B-44B5-97C0-990B419C8EDD}" name="28" dataDxfId="26"/>
    <tableColumn id="32" xr3:uid="{8AE9B956-E644-4C6B-921E-4F74CB7D6773}" name="29" dataDxfId="25"/>
    <tableColumn id="33" xr3:uid="{B21B95E7-A090-48C3-A061-9AA38A54209F}" name="30" dataDxfId="24"/>
    <tableColumn id="34" xr3:uid="{5AA714AA-661F-4B53-8E28-838A08B5F001}" name="31" dataDxfId="23"/>
    <tableColumn id="35" xr3:uid="{2B47CBCC-114B-4572-A37C-8C7E0BF54E6F}" name="Present" dataDxfId="22">
      <calculatedColumnFormula>COUNTIF(D3:AH3,"P")</calculatedColumnFormula>
    </tableColumn>
    <tableColumn id="36" xr3:uid="{6525A1CA-FAA9-4A47-BE57-30C82CAE82FE}" name="Leave" dataDxfId="21">
      <calculatedColumnFormula>COUNTIF(D3:AH3,"L")</calculatedColumnFormula>
    </tableColumn>
    <tableColumn id="37" xr3:uid="{7BB31DC0-5032-4D1C-A4FC-7C3BC91A0088}" name="Absent" dataDxfId="20">
      <calculatedColumnFormula>COUNTIF(D3:AH3,"A")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E314D-D616-46CC-8AD0-BD8B89CA6F90}" name="Table2" displayName="Table2" ref="A3:I871" totalsRowShown="0" headerRowDxfId="19" dataDxfId="18">
  <tableColumns count="9">
    <tableColumn id="1" xr3:uid="{5702D478-F663-4716-9B3D-B41FB397B278}" name="Emp ID"/>
    <tableColumn id="2" xr3:uid="{6AA4A7E3-F935-4E0D-AAFD-9DA428F839B2}" name="Employee Name">
      <calculatedColumnFormula>_xlfn.IFNA(INDEX('Attandance Tracker'!$B$3:$B$30,MATCH($A4,'Attandance Tracker'!$A$3:$A$30,0)),"")</calculatedColumnFormula>
    </tableColumn>
    <tableColumn id="3" xr3:uid="{F65BEE7D-25D4-4DAF-93A0-16253985956C}" name="Department" dataDxfId="17">
      <calculatedColumnFormula>_xlfn.IFNA(INDEX('Attandance Tracker'!$C$3:$C$30,MATCH($A4,'Attandance Tracker'!$A$3:$A$30,0)),"")</calculatedColumnFormula>
    </tableColumn>
    <tableColumn id="4" xr3:uid="{A8BB3316-C873-41FF-A245-3BFAF3CE43EC}" name="Day_x000a_(1-31)" dataDxfId="16"/>
    <tableColumn id="5" xr3:uid="{B69915E7-63EC-4D23-A061-9A60DDB05E86}" name="Check-In_x000a_(HH:MM)" dataDxfId="15"/>
    <tableColumn id="6" xr3:uid="{7FBCE0C7-D480-4591-A581-081605AAADC2}" name="Check-Out_x000a_(HH:MM)" dataDxfId="14"/>
    <tableColumn id="7" xr3:uid="{7A6A3566-C8DF-4C4F-8EAF-0C5C4334D2D9}" name="Hours_x000a_Worked" dataDxfId="13">
      <calculatedColumnFormula>IF(I4="Present",MIN(F4-E4,8/24),IF(I4="Absent",8/24,0))</calculatedColumnFormula>
    </tableColumn>
    <tableColumn id="8" xr3:uid="{6B3AC03D-6426-4700-9230-6F9E76EC92C7}" name="OT HOURS" dataDxfId="12">
      <calculatedColumnFormula>IF(I4="Present",MAX(0,F4-E4-8/24),0)</calculatedColumnFormula>
    </tableColumn>
    <tableColumn id="9" xr3:uid="{1875F2DC-B064-4214-A939-2552BDA5A797}" name="Status">
      <calculatedColumnFormula>IFERROR(IF(INDEX('Attandance Tracker'!$D$3:$AH$50,MATCH($A4,'Attandance Tracker'!$A$3:$A$50,0),DAY($D4))="P","Present",IF(INDEX('Attandance Tracker'!$D$3:$AH$50,MATCH($A4,'Attandance Tracker'!$A$3:$A$50,0),DAY($D4))="A","Absent","Leave")),"")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BF888F-A2B2-49C9-8BA8-0B24A921511A}" name="Table3" displayName="Table3" ref="A3:K31" totalsRowShown="0" headerRowDxfId="11">
  <tableColumns count="11">
    <tableColumn id="1" xr3:uid="{3DD01DDC-E12E-4E4F-AE33-2B53ACF21CBC}" name="Emp ID" dataDxfId="10"/>
    <tableColumn id="2" xr3:uid="{5FA7A5E1-D355-4B49-8230-7850D371D132}" name="Employee_x000a_Name" dataDxfId="9"/>
    <tableColumn id="3" xr3:uid="{98F971DF-D3F0-47ED-8392-3113BF5C16B7}" name="Department" dataDxfId="8"/>
    <tableColumn id="4" xr3:uid="{5BFAA2E5-A79F-475A-893E-D3D6BEB34964}" name="Present_x000a_Days" dataDxfId="7">
      <calculatedColumnFormula>COUNTIFS('Daily Entry'!A:A, A4, 'Daily Entry'!I:I, "Present")</calculatedColumnFormula>
    </tableColumn>
    <tableColumn id="5" xr3:uid="{D79FFE44-FDE2-4A51-BD80-BC618D9562EA}" name="Leave_x000a_Days" dataDxfId="6">
      <calculatedColumnFormula>COUNTIFS('Daily Entry'!A:A, A4, 'Daily Entry'!I:I, "Leave")</calculatedColumnFormula>
    </tableColumn>
    <tableColumn id="6" xr3:uid="{1D371974-8913-40F6-BF1F-08DEDCE49B99}" name="Absent_x000a_Days" dataDxfId="5">
      <calculatedColumnFormula>COUNTIFS('Daily Entry'!A:A, A4, 'Daily Entry'!I:I, "Absent")</calculatedColumnFormula>
    </tableColumn>
    <tableColumn id="7" xr3:uid="{0C51A43A-2100-4E4A-88DE-BFF0C646734F}" name="Base Present_x000a_Hrs (≤8/day)" dataDxfId="4">
      <calculatedColumnFormula>IFERROR(SUMIF('Daily Entry'!A:A,A4,'Daily Entry'!G:G),0)</calculatedColumnFormula>
    </tableColumn>
    <tableColumn id="8" xr3:uid="{FD621659-5595-467D-BC23-341690C4CD5E}" name="Overtime Hrs_x000a_(&gt;8/day)" dataDxfId="3">
      <calculatedColumnFormula>IFERROR(SUMIF('Daily Entry'!A:A, A4, 'Daily Entry'!H:H), 0)</calculatedColumnFormula>
    </tableColumn>
    <tableColumn id="9" xr3:uid="{0DA34068-A390-4754-BB75-2006F57FB573}" name="Base salary" dataDxfId="2">
      <calculatedColumnFormula>(G4/TIME(1,0,0))*VLOOKUP(C4,'Pay Rate'!A:B,2,0)</calculatedColumnFormula>
    </tableColumn>
    <tableColumn id="10" xr3:uid="{86105635-60DF-4F3F-A076-CD83243213A6}" name="OT salary" dataDxfId="1">
      <calculatedColumnFormula>(H4/TIME(1,0,0))*VLOOKUP(C4,'Pay Rate'!A:C,3,0)</calculatedColumnFormula>
    </tableColumn>
    <tableColumn id="11" xr3:uid="{03DE8F35-A1CF-49E5-9022-C285E7D2DF80}" name="Total Salary" dataDxfId="0">
      <calculatedColumnFormula>I4+J4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DE503BD-9EE3-44E3-B1D5-FA67778E570E}">
  <we:reference id="WA200008989" version="1.0.0.4" store="en-US" storeType="omex"/>
  <we:alternateReferences>
    <we:reference id="WA200008989" version="1.0.0.4" store="en-US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49043FED-D97C-4D30-8681-F8267518875B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8J2p4dfJB4vqhBD7RNYm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125C-F8FF-4BF0-A27A-0281964BFED4}">
  <sheetPr codeName="Sheet4"/>
  <dimension ref="A3:C9"/>
  <sheetViews>
    <sheetView workbookViewId="0">
      <selection activeCell="C4" sqref="C4"/>
    </sheetView>
  </sheetViews>
  <sheetFormatPr defaultRowHeight="15" x14ac:dyDescent="0.25"/>
  <cols>
    <col min="1" max="1" width="13.5703125" customWidth="1"/>
    <col min="2" max="2" width="14" customWidth="1"/>
    <col min="3" max="3" width="10.5703125" customWidth="1"/>
  </cols>
  <sheetData>
    <row r="3" spans="1:3" ht="31.5" x14ac:dyDescent="0.25">
      <c r="A3" s="3" t="s">
        <v>104</v>
      </c>
      <c r="B3" s="15" t="s">
        <v>140</v>
      </c>
      <c r="C3" s="15" t="s">
        <v>141</v>
      </c>
    </row>
    <row r="4" spans="1:3" x14ac:dyDescent="0.25">
      <c r="A4" s="9" t="s">
        <v>134</v>
      </c>
      <c r="B4" s="10">
        <v>350</v>
      </c>
      <c r="C4" s="10">
        <f>B4*2</f>
        <v>700</v>
      </c>
    </row>
    <row r="5" spans="1:3" x14ac:dyDescent="0.25">
      <c r="A5" s="9" t="s">
        <v>135</v>
      </c>
      <c r="B5" s="10">
        <v>300</v>
      </c>
      <c r="C5" s="10">
        <f t="shared" ref="C5:C9" si="0">B5*2</f>
        <v>600</v>
      </c>
    </row>
    <row r="6" spans="1:3" x14ac:dyDescent="0.25">
      <c r="A6" s="9" t="s">
        <v>136</v>
      </c>
      <c r="B6" s="10">
        <v>400</v>
      </c>
      <c r="C6" s="10">
        <f t="shared" si="0"/>
        <v>800</v>
      </c>
    </row>
    <row r="7" spans="1:3" x14ac:dyDescent="0.25">
      <c r="A7" s="9" t="s">
        <v>137</v>
      </c>
      <c r="B7" s="10">
        <v>370</v>
      </c>
      <c r="C7" s="10">
        <f t="shared" si="0"/>
        <v>740</v>
      </c>
    </row>
    <row r="8" spans="1:3" x14ac:dyDescent="0.25">
      <c r="A8" s="9" t="s">
        <v>138</v>
      </c>
      <c r="B8" s="10">
        <v>270</v>
      </c>
      <c r="C8" s="10">
        <f t="shared" si="0"/>
        <v>540</v>
      </c>
    </row>
    <row r="9" spans="1:3" x14ac:dyDescent="0.25">
      <c r="A9" s="9" t="s">
        <v>139</v>
      </c>
      <c r="B9" s="10">
        <v>320</v>
      </c>
      <c r="C9" s="10">
        <f t="shared" si="0"/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E784-4DC5-4572-9889-4D219497E540}">
  <sheetPr codeName="Sheet1"/>
  <dimension ref="A2:AK30"/>
  <sheetViews>
    <sheetView tabSelected="1" zoomScale="80" zoomScaleNormal="80" workbookViewId="0">
      <pane xSplit="3" topLeftCell="D1" activePane="topRight" state="frozen"/>
      <selection pane="topRight" activeCell="C3" sqref="C3"/>
    </sheetView>
  </sheetViews>
  <sheetFormatPr defaultRowHeight="15" x14ac:dyDescent="0.25"/>
  <cols>
    <col min="1" max="1" width="10.7109375" style="2" customWidth="1"/>
    <col min="2" max="2" width="12.140625" style="2" bestFit="1" customWidth="1"/>
    <col min="3" max="3" width="19.28515625" style="2" customWidth="1"/>
    <col min="4" max="34" width="9.140625" style="2"/>
    <col min="35" max="35" width="10.85546875" style="2" customWidth="1"/>
    <col min="36" max="36" width="9.140625" style="2"/>
    <col min="37" max="37" width="10.140625" style="2" customWidth="1"/>
    <col min="38" max="16384" width="9.140625" style="2"/>
  </cols>
  <sheetData>
    <row r="2" spans="1:37" ht="15.75" x14ac:dyDescent="0.25">
      <c r="A2" s="22" t="s">
        <v>103</v>
      </c>
      <c r="B2" s="23" t="s">
        <v>101</v>
      </c>
      <c r="C2" t="s">
        <v>1</v>
      </c>
      <c r="D2" s="24" t="s">
        <v>145</v>
      </c>
      <c r="E2" s="24" t="s">
        <v>146</v>
      </c>
      <c r="F2" s="24" t="s">
        <v>147</v>
      </c>
      <c r="G2" s="24" t="s">
        <v>148</v>
      </c>
      <c r="H2" s="24" t="s">
        <v>149</v>
      </c>
      <c r="I2" s="24" t="s">
        <v>150</v>
      </c>
      <c r="J2" s="24" t="s">
        <v>151</v>
      </c>
      <c r="K2" s="24" t="s">
        <v>152</v>
      </c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159</v>
      </c>
      <c r="S2" s="24" t="s">
        <v>160</v>
      </c>
      <c r="T2" s="24" t="s">
        <v>161</v>
      </c>
      <c r="U2" s="24" t="s">
        <v>162</v>
      </c>
      <c r="V2" s="24" t="s">
        <v>163</v>
      </c>
      <c r="W2" s="24" t="s">
        <v>164</v>
      </c>
      <c r="X2" s="24" t="s">
        <v>165</v>
      </c>
      <c r="Y2" s="24" t="s">
        <v>166</v>
      </c>
      <c r="Z2" s="24" t="s">
        <v>167</v>
      </c>
      <c r="AA2" s="24" t="s">
        <v>168</v>
      </c>
      <c r="AB2" s="24" t="s">
        <v>169</v>
      </c>
      <c r="AC2" s="24" t="s">
        <v>170</v>
      </c>
      <c r="AD2" s="24" t="s">
        <v>171</v>
      </c>
      <c r="AE2" s="24" t="s">
        <v>172</v>
      </c>
      <c r="AF2" s="24" t="s">
        <v>173</v>
      </c>
      <c r="AG2" s="24" t="s">
        <v>174</v>
      </c>
      <c r="AH2" s="24" t="s">
        <v>175</v>
      </c>
      <c r="AI2" s="25" t="s">
        <v>2</v>
      </c>
      <c r="AJ2" s="25" t="s">
        <v>4</v>
      </c>
      <c r="AK2" s="26" t="s">
        <v>3</v>
      </c>
    </row>
    <row r="3" spans="1:37" x14ac:dyDescent="0.25">
      <c r="A3" s="20">
        <v>1001</v>
      </c>
      <c r="B3" s="2" t="s">
        <v>106</v>
      </c>
      <c r="C3" s="9" t="s">
        <v>134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8</v>
      </c>
      <c r="V3" s="2" t="s">
        <v>9</v>
      </c>
      <c r="W3" s="2" t="s">
        <v>7</v>
      </c>
      <c r="X3" s="2" t="s">
        <v>7</v>
      </c>
      <c r="Y3" s="2" t="s">
        <v>7</v>
      </c>
      <c r="Z3" s="2" t="s">
        <v>7</v>
      </c>
      <c r="AA3" s="2" t="s">
        <v>9</v>
      </c>
      <c r="AB3" s="2" t="s">
        <v>9</v>
      </c>
      <c r="AC3" s="2" t="s">
        <v>8</v>
      </c>
      <c r="AD3" s="2" t="s">
        <v>7</v>
      </c>
      <c r="AE3" s="2" t="s">
        <v>7</v>
      </c>
      <c r="AF3" s="2" t="s">
        <v>7</v>
      </c>
      <c r="AG3" s="2" t="s">
        <v>8</v>
      </c>
      <c r="AH3" s="2" t="s">
        <v>8</v>
      </c>
      <c r="AI3" s="2">
        <f>COUNTIF(D3:AH3,"P")</f>
        <v>24</v>
      </c>
      <c r="AJ3" s="2">
        <f>COUNTIF(D3:AH3,"L")</f>
        <v>4</v>
      </c>
      <c r="AK3" s="21">
        <f>COUNTIF(D3:AH3,"A")</f>
        <v>3</v>
      </c>
    </row>
    <row r="4" spans="1:37" x14ac:dyDescent="0.25">
      <c r="A4" s="20">
        <v>1002</v>
      </c>
      <c r="B4" s="2" t="s">
        <v>107</v>
      </c>
      <c r="C4" s="9" t="s">
        <v>134</v>
      </c>
      <c r="D4" s="2" t="s">
        <v>7</v>
      </c>
      <c r="E4" s="2" t="s">
        <v>7</v>
      </c>
      <c r="F4" s="2" t="s">
        <v>7</v>
      </c>
      <c r="G4" s="2" t="s">
        <v>8</v>
      </c>
      <c r="H4" s="2" t="s">
        <v>8</v>
      </c>
      <c r="I4" s="2" t="s">
        <v>7</v>
      </c>
      <c r="J4" s="2" t="s">
        <v>7</v>
      </c>
      <c r="K4" s="2" t="s">
        <v>7</v>
      </c>
      <c r="L4" s="2" t="s">
        <v>9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7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7</v>
      </c>
      <c r="AI4" s="2">
        <f t="shared" ref="AI4:AI30" si="0">COUNTIF(D4:AH4,"P")</f>
        <v>28</v>
      </c>
      <c r="AJ4" s="2">
        <f t="shared" ref="AJ4:AJ30" si="1">COUNTIF(D4:AH4,"L")</f>
        <v>2</v>
      </c>
      <c r="AK4" s="21">
        <f t="shared" ref="AK4:AK30" si="2">COUNTIF(D4:AH4,"A")</f>
        <v>1</v>
      </c>
    </row>
    <row r="5" spans="1:37" x14ac:dyDescent="0.25">
      <c r="A5" s="20">
        <v>1003</v>
      </c>
      <c r="B5" s="2" t="s">
        <v>108</v>
      </c>
      <c r="C5" s="9" t="s">
        <v>135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  <c r="M5" s="2" t="s">
        <v>7</v>
      </c>
      <c r="N5" s="2" t="s">
        <v>7</v>
      </c>
      <c r="O5" s="2" t="s">
        <v>7</v>
      </c>
      <c r="P5" s="2" t="s">
        <v>7</v>
      </c>
      <c r="Q5" s="2" t="s">
        <v>7</v>
      </c>
      <c r="R5" s="2" t="s">
        <v>7</v>
      </c>
      <c r="S5" s="2" t="s">
        <v>7</v>
      </c>
      <c r="T5" s="2" t="s">
        <v>7</v>
      </c>
      <c r="U5" s="2" t="s">
        <v>7</v>
      </c>
      <c r="V5" s="2" t="s">
        <v>7</v>
      </c>
      <c r="W5" s="2" t="s">
        <v>7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>
        <f t="shared" si="0"/>
        <v>31</v>
      </c>
      <c r="AJ5" s="2">
        <f t="shared" si="1"/>
        <v>0</v>
      </c>
      <c r="AK5" s="21">
        <f t="shared" si="2"/>
        <v>0</v>
      </c>
    </row>
    <row r="6" spans="1:37" x14ac:dyDescent="0.25">
      <c r="A6" s="20">
        <v>1004</v>
      </c>
      <c r="B6" s="2" t="s">
        <v>109</v>
      </c>
      <c r="C6" s="9" t="s">
        <v>136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9</v>
      </c>
      <c r="AD6" s="2" t="s">
        <v>9</v>
      </c>
      <c r="AE6" s="2" t="s">
        <v>7</v>
      </c>
      <c r="AF6" s="2" t="s">
        <v>7</v>
      </c>
      <c r="AG6" s="2" t="s">
        <v>7</v>
      </c>
      <c r="AH6" s="2" t="s">
        <v>7</v>
      </c>
      <c r="AI6" s="2">
        <f t="shared" si="0"/>
        <v>29</v>
      </c>
      <c r="AJ6" s="2">
        <f t="shared" si="1"/>
        <v>0</v>
      </c>
      <c r="AK6" s="21">
        <f t="shared" si="2"/>
        <v>2</v>
      </c>
    </row>
    <row r="7" spans="1:37" x14ac:dyDescent="0.25">
      <c r="A7" s="20">
        <v>1005</v>
      </c>
      <c r="B7" s="2" t="s">
        <v>110</v>
      </c>
      <c r="C7" s="9" t="s">
        <v>137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7</v>
      </c>
      <c r="V7" s="2" t="s">
        <v>7</v>
      </c>
      <c r="W7" s="2" t="s">
        <v>7</v>
      </c>
      <c r="X7" s="2" t="s">
        <v>7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2" t="s">
        <v>7</v>
      </c>
      <c r="AG7" s="2" t="s">
        <v>7</v>
      </c>
      <c r="AH7" s="2" t="s">
        <v>8</v>
      </c>
      <c r="AI7" s="2">
        <f t="shared" si="0"/>
        <v>30</v>
      </c>
      <c r="AJ7" s="2">
        <f t="shared" si="1"/>
        <v>1</v>
      </c>
      <c r="AK7" s="21">
        <f t="shared" si="2"/>
        <v>0</v>
      </c>
    </row>
    <row r="8" spans="1:37" x14ac:dyDescent="0.25">
      <c r="A8" s="20">
        <v>1006</v>
      </c>
      <c r="B8" s="2" t="s">
        <v>111</v>
      </c>
      <c r="C8" s="9" t="s">
        <v>138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7</v>
      </c>
      <c r="O8" s="2" t="s">
        <v>7</v>
      </c>
      <c r="P8" s="2" t="s">
        <v>7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D8" s="2" t="s">
        <v>7</v>
      </c>
      <c r="AE8" s="2" t="s">
        <v>7</v>
      </c>
      <c r="AF8" s="2" t="s">
        <v>7</v>
      </c>
      <c r="AG8" s="2" t="s">
        <v>7</v>
      </c>
      <c r="AH8" s="2" t="s">
        <v>7</v>
      </c>
      <c r="AI8" s="2">
        <f t="shared" si="0"/>
        <v>31</v>
      </c>
      <c r="AJ8" s="2">
        <f t="shared" si="1"/>
        <v>0</v>
      </c>
      <c r="AK8" s="21">
        <f t="shared" si="2"/>
        <v>0</v>
      </c>
    </row>
    <row r="9" spans="1:37" x14ac:dyDescent="0.25">
      <c r="A9" s="20">
        <v>1007</v>
      </c>
      <c r="B9" s="2" t="s">
        <v>112</v>
      </c>
      <c r="C9" s="9" t="s">
        <v>139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7</v>
      </c>
      <c r="I9" s="2" t="s">
        <v>7</v>
      </c>
      <c r="J9" s="2" t="s">
        <v>7</v>
      </c>
      <c r="K9" s="2" t="s">
        <v>7</v>
      </c>
      <c r="L9" s="2" t="s">
        <v>7</v>
      </c>
      <c r="M9" s="2" t="s">
        <v>7</v>
      </c>
      <c r="N9" s="2" t="s">
        <v>7</v>
      </c>
      <c r="O9" s="2" t="s">
        <v>7</v>
      </c>
      <c r="P9" s="2" t="s">
        <v>7</v>
      </c>
      <c r="Q9" s="2" t="s">
        <v>7</v>
      </c>
      <c r="R9" s="2" t="s">
        <v>7</v>
      </c>
      <c r="S9" s="2" t="s">
        <v>7</v>
      </c>
      <c r="T9" s="2" t="s">
        <v>7</v>
      </c>
      <c r="U9" s="2" t="s">
        <v>7</v>
      </c>
      <c r="V9" s="2" t="s">
        <v>7</v>
      </c>
      <c r="W9" s="2" t="s">
        <v>7</v>
      </c>
      <c r="X9" s="2" t="s">
        <v>7</v>
      </c>
      <c r="Y9" s="2" t="s">
        <v>7</v>
      </c>
      <c r="Z9" s="2" t="s">
        <v>7</v>
      </c>
      <c r="AA9" s="2" t="s">
        <v>7</v>
      </c>
      <c r="AB9" s="2" t="s">
        <v>7</v>
      </c>
      <c r="AC9" s="2" t="s">
        <v>7</v>
      </c>
      <c r="AD9" s="2" t="s">
        <v>7</v>
      </c>
      <c r="AE9" s="2" t="s">
        <v>7</v>
      </c>
      <c r="AF9" s="2" t="s">
        <v>7</v>
      </c>
      <c r="AG9" s="2" t="s">
        <v>7</v>
      </c>
      <c r="AH9" s="2" t="s">
        <v>7</v>
      </c>
      <c r="AI9" s="2">
        <f t="shared" si="0"/>
        <v>27</v>
      </c>
      <c r="AJ9" s="2">
        <f t="shared" si="1"/>
        <v>4</v>
      </c>
      <c r="AK9" s="21">
        <f t="shared" si="2"/>
        <v>0</v>
      </c>
    </row>
    <row r="10" spans="1:37" x14ac:dyDescent="0.25">
      <c r="A10" s="20">
        <v>1008</v>
      </c>
      <c r="B10" s="2" t="s">
        <v>113</v>
      </c>
      <c r="C10" s="9" t="s">
        <v>135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7</v>
      </c>
      <c r="P10" s="2" t="s">
        <v>7</v>
      </c>
      <c r="Q10" s="2" t="s">
        <v>7</v>
      </c>
      <c r="R10" s="2" t="s">
        <v>7</v>
      </c>
      <c r="S10" s="2" t="s">
        <v>7</v>
      </c>
      <c r="T10" s="2" t="s">
        <v>7</v>
      </c>
      <c r="U10" s="2" t="s">
        <v>7</v>
      </c>
      <c r="V10" s="2" t="s">
        <v>7</v>
      </c>
      <c r="W10" s="2" t="s">
        <v>7</v>
      </c>
      <c r="X10" s="2" t="s">
        <v>7</v>
      </c>
      <c r="Y10" s="2" t="s">
        <v>7</v>
      </c>
      <c r="Z10" s="2" t="s">
        <v>7</v>
      </c>
      <c r="AA10" s="2" t="s">
        <v>7</v>
      </c>
      <c r="AB10" s="2" t="s">
        <v>7</v>
      </c>
      <c r="AC10" s="2" t="s">
        <v>7</v>
      </c>
      <c r="AD10" s="2" t="s">
        <v>7</v>
      </c>
      <c r="AE10" s="2" t="s">
        <v>7</v>
      </c>
      <c r="AF10" s="2" t="s">
        <v>7</v>
      </c>
      <c r="AG10" s="2" t="s">
        <v>7</v>
      </c>
      <c r="AH10" s="2" t="s">
        <v>7</v>
      </c>
      <c r="AI10" s="2">
        <f>COUNTIF(D10:AH10,"P")</f>
        <v>31</v>
      </c>
      <c r="AJ10" s="2">
        <f t="shared" si="1"/>
        <v>0</v>
      </c>
      <c r="AK10" s="21">
        <f t="shared" si="2"/>
        <v>0</v>
      </c>
    </row>
    <row r="11" spans="1:37" x14ac:dyDescent="0.25">
      <c r="A11" s="20">
        <v>1009</v>
      </c>
      <c r="B11" s="2" t="s">
        <v>114</v>
      </c>
      <c r="C11" s="9" t="s">
        <v>135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7</v>
      </c>
      <c r="Q11" s="2" t="s">
        <v>7</v>
      </c>
      <c r="R11" s="2" t="s">
        <v>7</v>
      </c>
      <c r="S11" s="2" t="s">
        <v>7</v>
      </c>
      <c r="T11" s="2" t="s">
        <v>7</v>
      </c>
      <c r="U11" s="2" t="s">
        <v>8</v>
      </c>
      <c r="V11" s="2" t="s">
        <v>9</v>
      </c>
      <c r="W11" s="2" t="s">
        <v>7</v>
      </c>
      <c r="X11" s="2" t="s">
        <v>7</v>
      </c>
      <c r="Y11" s="2" t="s">
        <v>7</v>
      </c>
      <c r="Z11" s="2" t="s">
        <v>7</v>
      </c>
      <c r="AA11" s="2" t="s">
        <v>9</v>
      </c>
      <c r="AB11" s="2" t="s">
        <v>9</v>
      </c>
      <c r="AC11" s="2" t="s">
        <v>8</v>
      </c>
      <c r="AD11" s="2" t="s">
        <v>7</v>
      </c>
      <c r="AE11" s="2" t="s">
        <v>7</v>
      </c>
      <c r="AF11" s="2" t="s">
        <v>7</v>
      </c>
      <c r="AG11" s="2" t="s">
        <v>8</v>
      </c>
      <c r="AH11" s="2" t="s">
        <v>8</v>
      </c>
      <c r="AI11" s="2">
        <f t="shared" si="0"/>
        <v>24</v>
      </c>
      <c r="AJ11" s="2">
        <f t="shared" si="1"/>
        <v>4</v>
      </c>
      <c r="AK11" s="21">
        <f t="shared" si="2"/>
        <v>3</v>
      </c>
    </row>
    <row r="12" spans="1:37" x14ac:dyDescent="0.25">
      <c r="A12" s="20">
        <v>1010</v>
      </c>
      <c r="B12" s="2" t="s">
        <v>115</v>
      </c>
      <c r="C12" s="9" t="s">
        <v>136</v>
      </c>
      <c r="D12" s="2" t="s">
        <v>7</v>
      </c>
      <c r="E12" s="2" t="s">
        <v>7</v>
      </c>
      <c r="F12" s="2" t="s">
        <v>7</v>
      </c>
      <c r="G12" s="2" t="s">
        <v>8</v>
      </c>
      <c r="H12" s="2" t="s">
        <v>8</v>
      </c>
      <c r="I12" s="2" t="s">
        <v>7</v>
      </c>
      <c r="J12" s="2" t="s">
        <v>7</v>
      </c>
      <c r="K12" s="2" t="s">
        <v>7</v>
      </c>
      <c r="L12" s="2" t="s">
        <v>9</v>
      </c>
      <c r="M12" s="2" t="s">
        <v>7</v>
      </c>
      <c r="N12" s="2" t="s">
        <v>7</v>
      </c>
      <c r="O12" s="2" t="s">
        <v>7</v>
      </c>
      <c r="P12" s="2" t="s">
        <v>7</v>
      </c>
      <c r="Q12" s="2" t="s">
        <v>7</v>
      </c>
      <c r="R12" s="2" t="s">
        <v>7</v>
      </c>
      <c r="S12" s="2" t="s">
        <v>7</v>
      </c>
      <c r="T12" s="2" t="s">
        <v>7</v>
      </c>
      <c r="U12" s="2" t="s">
        <v>7</v>
      </c>
      <c r="V12" s="2" t="s">
        <v>7</v>
      </c>
      <c r="W12" s="2" t="s">
        <v>7</v>
      </c>
      <c r="X12" s="2" t="s">
        <v>7</v>
      </c>
      <c r="Y12" s="2" t="s">
        <v>7</v>
      </c>
      <c r="Z12" s="2" t="s">
        <v>7</v>
      </c>
      <c r="AA12" s="2" t="s">
        <v>7</v>
      </c>
      <c r="AB12" s="2" t="s">
        <v>7</v>
      </c>
      <c r="AC12" s="2" t="s">
        <v>7</v>
      </c>
      <c r="AD12" s="2" t="s">
        <v>7</v>
      </c>
      <c r="AE12" s="2" t="s">
        <v>7</v>
      </c>
      <c r="AF12" s="2" t="s">
        <v>7</v>
      </c>
      <c r="AG12" s="2" t="s">
        <v>7</v>
      </c>
      <c r="AH12" s="2" t="s">
        <v>7</v>
      </c>
      <c r="AI12" s="2">
        <f t="shared" si="0"/>
        <v>28</v>
      </c>
      <c r="AJ12" s="2">
        <f t="shared" si="1"/>
        <v>2</v>
      </c>
      <c r="AK12" s="21">
        <f t="shared" si="2"/>
        <v>1</v>
      </c>
    </row>
    <row r="13" spans="1:37" x14ac:dyDescent="0.25">
      <c r="A13" s="20">
        <v>1011</v>
      </c>
      <c r="B13" s="2" t="s">
        <v>116</v>
      </c>
      <c r="C13" s="9" t="s">
        <v>136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  <c r="N13" s="2" t="s">
        <v>7</v>
      </c>
      <c r="O13" s="2" t="s">
        <v>7</v>
      </c>
      <c r="P13" s="2" t="s">
        <v>7</v>
      </c>
      <c r="Q13" s="2" t="s">
        <v>7</v>
      </c>
      <c r="R13" s="2" t="s">
        <v>7</v>
      </c>
      <c r="S13" s="2" t="s">
        <v>7</v>
      </c>
      <c r="T13" s="2" t="s">
        <v>7</v>
      </c>
      <c r="U13" s="2" t="s">
        <v>7</v>
      </c>
      <c r="V13" s="2" t="s">
        <v>7</v>
      </c>
      <c r="W13" s="2" t="s">
        <v>7</v>
      </c>
      <c r="X13" s="2" t="s">
        <v>7</v>
      </c>
      <c r="Y13" s="2" t="s">
        <v>7</v>
      </c>
      <c r="Z13" s="2" t="s">
        <v>7</v>
      </c>
      <c r="AA13" s="2" t="s">
        <v>7</v>
      </c>
      <c r="AB13" s="2" t="s">
        <v>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>
        <f t="shared" si="0"/>
        <v>31</v>
      </c>
      <c r="AJ13" s="2">
        <f t="shared" si="1"/>
        <v>0</v>
      </c>
      <c r="AK13" s="21">
        <f t="shared" si="2"/>
        <v>0</v>
      </c>
    </row>
    <row r="14" spans="1:37" x14ac:dyDescent="0.25">
      <c r="A14" s="20">
        <v>1012</v>
      </c>
      <c r="B14" s="2" t="s">
        <v>117</v>
      </c>
      <c r="C14" s="9" t="s">
        <v>137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7</v>
      </c>
      <c r="P14" s="2" t="s">
        <v>7</v>
      </c>
      <c r="Q14" s="2" t="s">
        <v>7</v>
      </c>
      <c r="R14" s="2" t="s">
        <v>7</v>
      </c>
      <c r="S14" s="2" t="s">
        <v>7</v>
      </c>
      <c r="T14" s="2" t="s">
        <v>7</v>
      </c>
      <c r="U14" s="2" t="s">
        <v>7</v>
      </c>
      <c r="V14" s="2" t="s">
        <v>7</v>
      </c>
      <c r="W14" s="2" t="s">
        <v>7</v>
      </c>
      <c r="X14" s="2" t="s">
        <v>7</v>
      </c>
      <c r="Y14" s="2" t="s">
        <v>7</v>
      </c>
      <c r="Z14" s="2" t="s">
        <v>7</v>
      </c>
      <c r="AA14" s="2" t="s">
        <v>7</v>
      </c>
      <c r="AB14" s="2" t="s">
        <v>7</v>
      </c>
      <c r="AC14" s="2" t="s">
        <v>9</v>
      </c>
      <c r="AD14" s="2" t="s">
        <v>9</v>
      </c>
      <c r="AE14" s="2" t="s">
        <v>7</v>
      </c>
      <c r="AF14" s="2" t="s">
        <v>7</v>
      </c>
      <c r="AG14" s="2" t="s">
        <v>7</v>
      </c>
      <c r="AH14" s="2" t="s">
        <v>7</v>
      </c>
      <c r="AI14" s="2">
        <f t="shared" si="0"/>
        <v>29</v>
      </c>
      <c r="AJ14" s="2">
        <f t="shared" si="1"/>
        <v>0</v>
      </c>
      <c r="AK14" s="21">
        <f t="shared" si="2"/>
        <v>2</v>
      </c>
    </row>
    <row r="15" spans="1:37" x14ac:dyDescent="0.25">
      <c r="A15" s="20">
        <v>1013</v>
      </c>
      <c r="B15" s="2" t="s">
        <v>118</v>
      </c>
      <c r="C15" s="9" t="s">
        <v>137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7</v>
      </c>
      <c r="P15" s="2" t="s">
        <v>7</v>
      </c>
      <c r="Q15" s="2" t="s">
        <v>7</v>
      </c>
      <c r="R15" s="2" t="s">
        <v>7</v>
      </c>
      <c r="S15" s="2" t="s">
        <v>7</v>
      </c>
      <c r="T15" s="2" t="s">
        <v>7</v>
      </c>
      <c r="U15" s="2" t="s">
        <v>7</v>
      </c>
      <c r="V15" s="2" t="s">
        <v>7</v>
      </c>
      <c r="W15" s="2" t="s">
        <v>7</v>
      </c>
      <c r="X15" s="2" t="s">
        <v>7</v>
      </c>
      <c r="Y15" s="2" t="s">
        <v>7</v>
      </c>
      <c r="Z15" s="2" t="s">
        <v>7</v>
      </c>
      <c r="AA15" s="2" t="s">
        <v>7</v>
      </c>
      <c r="AB15" s="2" t="s">
        <v>7</v>
      </c>
      <c r="AC15" s="2" t="s">
        <v>7</v>
      </c>
      <c r="AD15" s="2" t="s">
        <v>7</v>
      </c>
      <c r="AE15" s="2" t="s">
        <v>7</v>
      </c>
      <c r="AF15" s="2" t="s">
        <v>7</v>
      </c>
      <c r="AG15" s="2" t="s">
        <v>7</v>
      </c>
      <c r="AH15" s="2" t="s">
        <v>8</v>
      </c>
      <c r="AI15" s="2">
        <f t="shared" si="0"/>
        <v>30</v>
      </c>
      <c r="AJ15" s="2">
        <f t="shared" si="1"/>
        <v>1</v>
      </c>
      <c r="AK15" s="21">
        <f t="shared" si="2"/>
        <v>0</v>
      </c>
    </row>
    <row r="16" spans="1:37" x14ac:dyDescent="0.25">
      <c r="A16" s="20">
        <v>1014</v>
      </c>
      <c r="B16" s="2" t="s">
        <v>119</v>
      </c>
      <c r="C16" s="9" t="s">
        <v>137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2" t="s">
        <v>7</v>
      </c>
      <c r="Z16" s="2" t="s">
        <v>7</v>
      </c>
      <c r="AA16" s="2" t="s">
        <v>7</v>
      </c>
      <c r="AB16" s="2" t="s">
        <v>7</v>
      </c>
      <c r="AC16" s="2" t="s">
        <v>7</v>
      </c>
      <c r="AD16" s="2" t="s">
        <v>7</v>
      </c>
      <c r="AE16" s="2" t="s">
        <v>7</v>
      </c>
      <c r="AF16" s="2" t="s">
        <v>7</v>
      </c>
      <c r="AG16" s="2" t="s">
        <v>7</v>
      </c>
      <c r="AH16" s="2" t="s">
        <v>7</v>
      </c>
      <c r="AI16" s="2">
        <f t="shared" si="0"/>
        <v>31</v>
      </c>
      <c r="AJ16" s="2">
        <f t="shared" si="1"/>
        <v>0</v>
      </c>
      <c r="AK16" s="21">
        <f t="shared" si="2"/>
        <v>0</v>
      </c>
    </row>
    <row r="17" spans="1:37" x14ac:dyDescent="0.25">
      <c r="A17" s="20">
        <v>1015</v>
      </c>
      <c r="B17" s="2" t="s">
        <v>120</v>
      </c>
      <c r="C17" s="9" t="s">
        <v>138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  <c r="R17" s="2" t="s">
        <v>7</v>
      </c>
      <c r="S17" s="2" t="s">
        <v>7</v>
      </c>
      <c r="T17" s="2" t="s">
        <v>7</v>
      </c>
      <c r="U17" s="2" t="s">
        <v>7</v>
      </c>
      <c r="V17" s="2" t="s">
        <v>7</v>
      </c>
      <c r="W17" s="2" t="s">
        <v>7</v>
      </c>
      <c r="X17" s="2" t="s">
        <v>7</v>
      </c>
      <c r="Y17" s="2" t="s">
        <v>7</v>
      </c>
      <c r="Z17" s="2" t="s">
        <v>7</v>
      </c>
      <c r="AA17" s="2" t="s">
        <v>7</v>
      </c>
      <c r="AB17" s="2" t="s">
        <v>7</v>
      </c>
      <c r="AC17" s="2" t="s">
        <v>7</v>
      </c>
      <c r="AD17" s="2" t="s">
        <v>7</v>
      </c>
      <c r="AE17" s="2" t="s">
        <v>7</v>
      </c>
      <c r="AF17" s="2" t="s">
        <v>7</v>
      </c>
      <c r="AG17" s="2" t="s">
        <v>7</v>
      </c>
      <c r="AH17" s="2" t="s">
        <v>7</v>
      </c>
      <c r="AI17" s="2">
        <f t="shared" si="0"/>
        <v>27</v>
      </c>
      <c r="AJ17" s="2">
        <f t="shared" si="1"/>
        <v>4</v>
      </c>
      <c r="AK17" s="21">
        <f t="shared" si="2"/>
        <v>0</v>
      </c>
    </row>
    <row r="18" spans="1:37" x14ac:dyDescent="0.25">
      <c r="A18" s="20">
        <v>1016</v>
      </c>
      <c r="B18" s="2" t="s">
        <v>121</v>
      </c>
      <c r="C18" s="9" t="s">
        <v>138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  <c r="R18" s="2" t="s">
        <v>7</v>
      </c>
      <c r="S18" s="2" t="s">
        <v>7</v>
      </c>
      <c r="T18" s="2" t="s">
        <v>7</v>
      </c>
      <c r="U18" s="2" t="s">
        <v>7</v>
      </c>
      <c r="V18" s="2" t="s">
        <v>7</v>
      </c>
      <c r="W18" s="2" t="s">
        <v>7</v>
      </c>
      <c r="X18" s="2" t="s">
        <v>7</v>
      </c>
      <c r="Y18" s="2" t="s">
        <v>7</v>
      </c>
      <c r="Z18" s="2" t="s">
        <v>7</v>
      </c>
      <c r="AA18" s="2" t="s">
        <v>7</v>
      </c>
      <c r="AB18" s="2" t="s">
        <v>7</v>
      </c>
      <c r="AC18" s="2" t="s">
        <v>7</v>
      </c>
      <c r="AD18" s="2" t="s">
        <v>7</v>
      </c>
      <c r="AE18" s="2" t="s">
        <v>7</v>
      </c>
      <c r="AF18" s="2" t="s">
        <v>7</v>
      </c>
      <c r="AG18" s="2" t="s">
        <v>7</v>
      </c>
      <c r="AH18" s="2" t="s">
        <v>7</v>
      </c>
      <c r="AI18" s="2">
        <f t="shared" si="0"/>
        <v>31</v>
      </c>
      <c r="AJ18" s="2">
        <f t="shared" si="1"/>
        <v>0</v>
      </c>
      <c r="AK18" s="21">
        <f t="shared" si="2"/>
        <v>0</v>
      </c>
    </row>
    <row r="19" spans="1:37" x14ac:dyDescent="0.25">
      <c r="A19" s="20">
        <v>1017</v>
      </c>
      <c r="B19" s="2" t="s">
        <v>122</v>
      </c>
      <c r="C19" s="9" t="s">
        <v>138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2" t="s">
        <v>7</v>
      </c>
      <c r="K19" s="2" t="s">
        <v>7</v>
      </c>
      <c r="L19" s="2" t="s">
        <v>7</v>
      </c>
      <c r="M19" s="2" t="s">
        <v>7</v>
      </c>
      <c r="N19" s="2" t="s">
        <v>7</v>
      </c>
      <c r="O19" s="2" t="s">
        <v>7</v>
      </c>
      <c r="P19" s="2" t="s">
        <v>7</v>
      </c>
      <c r="Q19" s="2" t="s">
        <v>7</v>
      </c>
      <c r="R19" s="2" t="s">
        <v>7</v>
      </c>
      <c r="S19" s="2" t="s">
        <v>7</v>
      </c>
      <c r="T19" s="2" t="s">
        <v>7</v>
      </c>
      <c r="U19" s="2" t="s">
        <v>8</v>
      </c>
      <c r="V19" s="2" t="s">
        <v>9</v>
      </c>
      <c r="W19" s="2" t="s">
        <v>7</v>
      </c>
      <c r="X19" s="2" t="s">
        <v>7</v>
      </c>
      <c r="Y19" s="2" t="s">
        <v>7</v>
      </c>
      <c r="Z19" s="2" t="s">
        <v>7</v>
      </c>
      <c r="AA19" s="2" t="s">
        <v>9</v>
      </c>
      <c r="AB19" s="2" t="s">
        <v>9</v>
      </c>
      <c r="AC19" s="2" t="s">
        <v>8</v>
      </c>
      <c r="AD19" s="2" t="s">
        <v>7</v>
      </c>
      <c r="AE19" s="2" t="s">
        <v>7</v>
      </c>
      <c r="AF19" s="2" t="s">
        <v>7</v>
      </c>
      <c r="AG19" s="2" t="s">
        <v>8</v>
      </c>
      <c r="AH19" s="2" t="s">
        <v>8</v>
      </c>
      <c r="AI19" s="2">
        <f t="shared" si="0"/>
        <v>24</v>
      </c>
      <c r="AJ19" s="2">
        <f t="shared" si="1"/>
        <v>4</v>
      </c>
      <c r="AK19" s="21">
        <f t="shared" si="2"/>
        <v>3</v>
      </c>
    </row>
    <row r="20" spans="1:37" x14ac:dyDescent="0.25">
      <c r="A20" s="20">
        <v>1018</v>
      </c>
      <c r="B20" s="2" t="s">
        <v>123</v>
      </c>
      <c r="C20" s="9" t="s">
        <v>139</v>
      </c>
      <c r="D20" s="2" t="s">
        <v>7</v>
      </c>
      <c r="E20" s="2" t="s">
        <v>7</v>
      </c>
      <c r="F20" s="2" t="s">
        <v>7</v>
      </c>
      <c r="G20" s="2" t="s">
        <v>8</v>
      </c>
      <c r="H20" s="2" t="s">
        <v>8</v>
      </c>
      <c r="I20" s="2" t="s">
        <v>7</v>
      </c>
      <c r="J20" s="2" t="s">
        <v>7</v>
      </c>
      <c r="K20" s="2" t="s">
        <v>7</v>
      </c>
      <c r="L20" s="2" t="s">
        <v>9</v>
      </c>
      <c r="M20" s="2" t="s">
        <v>7</v>
      </c>
      <c r="N20" s="2" t="s">
        <v>7</v>
      </c>
      <c r="O20" s="2" t="s">
        <v>7</v>
      </c>
      <c r="P20" s="2" t="s">
        <v>7</v>
      </c>
      <c r="Q20" s="2" t="s">
        <v>7</v>
      </c>
      <c r="R20" s="2" t="s">
        <v>7</v>
      </c>
      <c r="S20" s="2" t="s">
        <v>7</v>
      </c>
      <c r="T20" s="2" t="s">
        <v>7</v>
      </c>
      <c r="U20" s="2" t="s">
        <v>7</v>
      </c>
      <c r="V20" s="2" t="s">
        <v>7</v>
      </c>
      <c r="W20" s="2" t="s">
        <v>7</v>
      </c>
      <c r="X20" s="2" t="s">
        <v>7</v>
      </c>
      <c r="Y20" s="2" t="s">
        <v>7</v>
      </c>
      <c r="Z20" s="2" t="s">
        <v>7</v>
      </c>
      <c r="AA20" s="2" t="s">
        <v>7</v>
      </c>
      <c r="AB20" s="2" t="s">
        <v>7</v>
      </c>
      <c r="AC20" s="2" t="s">
        <v>7</v>
      </c>
      <c r="AD20" s="2" t="s">
        <v>7</v>
      </c>
      <c r="AE20" s="2" t="s">
        <v>7</v>
      </c>
      <c r="AF20" s="2" t="s">
        <v>7</v>
      </c>
      <c r="AG20" s="2" t="s">
        <v>7</v>
      </c>
      <c r="AH20" s="2" t="s">
        <v>7</v>
      </c>
      <c r="AI20" s="2">
        <f t="shared" si="0"/>
        <v>28</v>
      </c>
      <c r="AJ20" s="2">
        <f t="shared" si="1"/>
        <v>2</v>
      </c>
      <c r="AK20" s="21">
        <f t="shared" si="2"/>
        <v>1</v>
      </c>
    </row>
    <row r="21" spans="1:37" x14ac:dyDescent="0.25">
      <c r="A21" s="20">
        <v>1019</v>
      </c>
      <c r="B21" s="2" t="s">
        <v>124</v>
      </c>
      <c r="C21" s="9" t="s">
        <v>139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7</v>
      </c>
      <c r="K21" s="2" t="s">
        <v>7</v>
      </c>
      <c r="L21" s="2" t="s">
        <v>7</v>
      </c>
      <c r="M21" s="2" t="s">
        <v>7</v>
      </c>
      <c r="N21" s="2" t="s">
        <v>7</v>
      </c>
      <c r="O21" s="2" t="s">
        <v>7</v>
      </c>
      <c r="P21" s="2" t="s">
        <v>7</v>
      </c>
      <c r="Q21" s="2" t="s">
        <v>7</v>
      </c>
      <c r="R21" s="2" t="s">
        <v>7</v>
      </c>
      <c r="S21" s="2" t="s">
        <v>7</v>
      </c>
      <c r="T21" s="2" t="s">
        <v>7</v>
      </c>
      <c r="U21" s="2" t="s">
        <v>7</v>
      </c>
      <c r="V21" s="2" t="s">
        <v>7</v>
      </c>
      <c r="W21" s="2" t="s">
        <v>7</v>
      </c>
      <c r="X21" s="2" t="s">
        <v>7</v>
      </c>
      <c r="Y21" s="2" t="s">
        <v>7</v>
      </c>
      <c r="Z21" s="2" t="s">
        <v>7</v>
      </c>
      <c r="AA21" s="2" t="s">
        <v>7</v>
      </c>
      <c r="AB21" s="2" t="s">
        <v>7</v>
      </c>
      <c r="AC21" s="2" t="s">
        <v>7</v>
      </c>
      <c r="AD21" s="2" t="s">
        <v>7</v>
      </c>
      <c r="AE21" s="2" t="s">
        <v>7</v>
      </c>
      <c r="AF21" s="2" t="s">
        <v>7</v>
      </c>
      <c r="AG21" s="2" t="s">
        <v>7</v>
      </c>
      <c r="AH21" s="2" t="s">
        <v>7</v>
      </c>
      <c r="AI21" s="2">
        <f t="shared" si="0"/>
        <v>31</v>
      </c>
      <c r="AJ21" s="2">
        <f t="shared" si="1"/>
        <v>0</v>
      </c>
      <c r="AK21" s="21">
        <f t="shared" si="2"/>
        <v>0</v>
      </c>
    </row>
    <row r="22" spans="1:37" x14ac:dyDescent="0.25">
      <c r="A22" s="20">
        <v>1020</v>
      </c>
      <c r="B22" s="2" t="s">
        <v>125</v>
      </c>
      <c r="C22" s="9" t="s">
        <v>139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2" t="s">
        <v>7</v>
      </c>
      <c r="K22" s="2" t="s">
        <v>7</v>
      </c>
      <c r="L22" s="2" t="s">
        <v>7</v>
      </c>
      <c r="M22" s="2" t="s">
        <v>7</v>
      </c>
      <c r="N22" s="2" t="s">
        <v>7</v>
      </c>
      <c r="O22" s="2" t="s">
        <v>7</v>
      </c>
      <c r="P22" s="2" t="s">
        <v>7</v>
      </c>
      <c r="Q22" s="2" t="s">
        <v>7</v>
      </c>
      <c r="R22" s="2" t="s">
        <v>7</v>
      </c>
      <c r="S22" s="2" t="s">
        <v>7</v>
      </c>
      <c r="T22" s="2" t="s">
        <v>7</v>
      </c>
      <c r="U22" s="2" t="s">
        <v>7</v>
      </c>
      <c r="V22" s="2" t="s">
        <v>7</v>
      </c>
      <c r="W22" s="2" t="s">
        <v>7</v>
      </c>
      <c r="X22" s="2" t="s">
        <v>7</v>
      </c>
      <c r="Y22" s="2" t="s">
        <v>7</v>
      </c>
      <c r="Z22" s="2" t="s">
        <v>7</v>
      </c>
      <c r="AA22" s="2" t="s">
        <v>7</v>
      </c>
      <c r="AB22" s="2" t="s">
        <v>7</v>
      </c>
      <c r="AC22" s="2" t="s">
        <v>9</v>
      </c>
      <c r="AD22" s="2" t="s">
        <v>9</v>
      </c>
      <c r="AE22" s="2" t="s">
        <v>7</v>
      </c>
      <c r="AF22" s="2" t="s">
        <v>7</v>
      </c>
      <c r="AG22" s="2" t="s">
        <v>7</v>
      </c>
      <c r="AH22" s="2" t="s">
        <v>7</v>
      </c>
      <c r="AI22" s="2">
        <f t="shared" si="0"/>
        <v>29</v>
      </c>
      <c r="AJ22" s="2">
        <f t="shared" si="1"/>
        <v>0</v>
      </c>
      <c r="AK22" s="21">
        <f t="shared" si="2"/>
        <v>2</v>
      </c>
    </row>
    <row r="23" spans="1:37" x14ac:dyDescent="0.25">
      <c r="A23" s="20">
        <v>1021</v>
      </c>
      <c r="B23" s="2" t="s">
        <v>126</v>
      </c>
      <c r="C23" s="9" t="s">
        <v>135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2" t="s">
        <v>7</v>
      </c>
      <c r="J23" s="2" t="s">
        <v>7</v>
      </c>
      <c r="K23" s="2" t="s">
        <v>7</v>
      </c>
      <c r="L23" s="2" t="s">
        <v>7</v>
      </c>
      <c r="M23" s="2" t="s">
        <v>7</v>
      </c>
      <c r="N23" s="2" t="s">
        <v>7</v>
      </c>
      <c r="O23" s="2" t="s">
        <v>7</v>
      </c>
      <c r="P23" s="2" t="s">
        <v>7</v>
      </c>
      <c r="Q23" s="2" t="s">
        <v>7</v>
      </c>
      <c r="R23" s="2" t="s">
        <v>7</v>
      </c>
      <c r="S23" s="2" t="s">
        <v>7</v>
      </c>
      <c r="T23" s="2" t="s">
        <v>7</v>
      </c>
      <c r="U23" s="2" t="s">
        <v>7</v>
      </c>
      <c r="V23" s="2" t="s">
        <v>7</v>
      </c>
      <c r="W23" s="2" t="s">
        <v>7</v>
      </c>
      <c r="X23" s="2" t="s">
        <v>7</v>
      </c>
      <c r="Y23" s="2" t="s">
        <v>7</v>
      </c>
      <c r="Z23" s="2" t="s">
        <v>7</v>
      </c>
      <c r="AA23" s="2" t="s">
        <v>7</v>
      </c>
      <c r="AB23" s="2" t="s">
        <v>7</v>
      </c>
      <c r="AC23" s="2" t="s">
        <v>7</v>
      </c>
      <c r="AD23" s="2" t="s">
        <v>7</v>
      </c>
      <c r="AE23" s="2" t="s">
        <v>7</v>
      </c>
      <c r="AF23" s="2" t="s">
        <v>7</v>
      </c>
      <c r="AG23" s="2" t="s">
        <v>7</v>
      </c>
      <c r="AH23" s="2" t="s">
        <v>8</v>
      </c>
      <c r="AI23" s="2">
        <f t="shared" si="0"/>
        <v>30</v>
      </c>
      <c r="AJ23" s="2">
        <f t="shared" si="1"/>
        <v>1</v>
      </c>
      <c r="AK23" s="21">
        <f t="shared" si="2"/>
        <v>0</v>
      </c>
    </row>
    <row r="24" spans="1:37" x14ac:dyDescent="0.25">
      <c r="A24" s="20">
        <v>1022</v>
      </c>
      <c r="B24" s="2" t="s">
        <v>127</v>
      </c>
      <c r="C24" s="9" t="s">
        <v>136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2" t="s">
        <v>7</v>
      </c>
      <c r="J24" s="2" t="s">
        <v>7</v>
      </c>
      <c r="K24" s="2" t="s">
        <v>7</v>
      </c>
      <c r="L24" s="2" t="s">
        <v>7</v>
      </c>
      <c r="M24" s="2" t="s">
        <v>7</v>
      </c>
      <c r="N24" s="2" t="s">
        <v>7</v>
      </c>
      <c r="O24" s="2" t="s">
        <v>7</v>
      </c>
      <c r="P24" s="2" t="s">
        <v>7</v>
      </c>
      <c r="Q24" s="2" t="s">
        <v>7</v>
      </c>
      <c r="R24" s="2" t="s">
        <v>7</v>
      </c>
      <c r="S24" s="2" t="s">
        <v>7</v>
      </c>
      <c r="T24" s="2" t="s">
        <v>7</v>
      </c>
      <c r="U24" s="2" t="s">
        <v>7</v>
      </c>
      <c r="V24" s="2" t="s">
        <v>7</v>
      </c>
      <c r="W24" s="2" t="s">
        <v>7</v>
      </c>
      <c r="X24" s="2" t="s">
        <v>7</v>
      </c>
      <c r="Y24" s="2" t="s">
        <v>7</v>
      </c>
      <c r="Z24" s="2" t="s">
        <v>7</v>
      </c>
      <c r="AA24" s="2" t="s">
        <v>7</v>
      </c>
      <c r="AB24" s="2" t="s">
        <v>7</v>
      </c>
      <c r="AC24" s="2" t="s">
        <v>7</v>
      </c>
      <c r="AD24" s="2" t="s">
        <v>7</v>
      </c>
      <c r="AE24" s="2" t="s">
        <v>7</v>
      </c>
      <c r="AF24" s="2" t="s">
        <v>7</v>
      </c>
      <c r="AG24" s="2" t="s">
        <v>7</v>
      </c>
      <c r="AH24" s="2" t="s">
        <v>7</v>
      </c>
      <c r="AI24" s="2">
        <f t="shared" si="0"/>
        <v>31</v>
      </c>
      <c r="AJ24" s="2">
        <f t="shared" si="1"/>
        <v>0</v>
      </c>
      <c r="AK24" s="21">
        <f t="shared" si="2"/>
        <v>0</v>
      </c>
    </row>
    <row r="25" spans="1:37" x14ac:dyDescent="0.25">
      <c r="A25" s="20">
        <v>1023</v>
      </c>
      <c r="B25" s="2" t="s">
        <v>128</v>
      </c>
      <c r="C25" s="9" t="s">
        <v>137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7</v>
      </c>
      <c r="I25" s="2" t="s">
        <v>7</v>
      </c>
      <c r="J25" s="2" t="s">
        <v>7</v>
      </c>
      <c r="K25" s="2" t="s">
        <v>7</v>
      </c>
      <c r="L25" s="2" t="s">
        <v>7</v>
      </c>
      <c r="M25" s="2" t="s">
        <v>7</v>
      </c>
      <c r="N25" s="2" t="s">
        <v>7</v>
      </c>
      <c r="O25" s="2" t="s">
        <v>7</v>
      </c>
      <c r="P25" s="2" t="s">
        <v>7</v>
      </c>
      <c r="Q25" s="2" t="s">
        <v>7</v>
      </c>
      <c r="R25" s="2" t="s">
        <v>7</v>
      </c>
      <c r="S25" s="2" t="s">
        <v>7</v>
      </c>
      <c r="T25" s="2" t="s">
        <v>7</v>
      </c>
      <c r="U25" s="2" t="s">
        <v>7</v>
      </c>
      <c r="V25" s="2" t="s">
        <v>7</v>
      </c>
      <c r="W25" s="2" t="s">
        <v>7</v>
      </c>
      <c r="X25" s="2" t="s">
        <v>7</v>
      </c>
      <c r="Y25" s="2" t="s">
        <v>7</v>
      </c>
      <c r="Z25" s="2" t="s">
        <v>7</v>
      </c>
      <c r="AA25" s="2" t="s">
        <v>7</v>
      </c>
      <c r="AB25" s="2" t="s">
        <v>7</v>
      </c>
      <c r="AC25" s="2" t="s">
        <v>7</v>
      </c>
      <c r="AD25" s="2" t="s">
        <v>7</v>
      </c>
      <c r="AE25" s="2" t="s">
        <v>7</v>
      </c>
      <c r="AF25" s="2" t="s">
        <v>7</v>
      </c>
      <c r="AG25" s="2" t="s">
        <v>7</v>
      </c>
      <c r="AH25" s="2" t="s">
        <v>7</v>
      </c>
      <c r="AI25" s="2">
        <f t="shared" si="0"/>
        <v>27</v>
      </c>
      <c r="AJ25" s="2">
        <f t="shared" si="1"/>
        <v>4</v>
      </c>
      <c r="AK25" s="21">
        <f t="shared" si="2"/>
        <v>0</v>
      </c>
    </row>
    <row r="26" spans="1:37" x14ac:dyDescent="0.25">
      <c r="A26" s="20">
        <v>1024</v>
      </c>
      <c r="B26" s="2" t="s">
        <v>129</v>
      </c>
      <c r="C26" s="9" t="s">
        <v>138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2" t="s">
        <v>7</v>
      </c>
      <c r="J26" s="2" t="s">
        <v>7</v>
      </c>
      <c r="K26" s="2" t="s">
        <v>7</v>
      </c>
      <c r="L26" s="2" t="s">
        <v>7</v>
      </c>
      <c r="M26" s="2" t="s">
        <v>7</v>
      </c>
      <c r="N26" s="2" t="s">
        <v>7</v>
      </c>
      <c r="O26" s="2" t="s">
        <v>7</v>
      </c>
      <c r="P26" s="2" t="s">
        <v>7</v>
      </c>
      <c r="Q26" s="2" t="s">
        <v>7</v>
      </c>
      <c r="R26" s="2" t="s">
        <v>7</v>
      </c>
      <c r="S26" s="2" t="s">
        <v>7</v>
      </c>
      <c r="T26" s="2" t="s">
        <v>7</v>
      </c>
      <c r="U26" s="2" t="s">
        <v>7</v>
      </c>
      <c r="V26" s="2" t="s">
        <v>7</v>
      </c>
      <c r="W26" s="2" t="s">
        <v>7</v>
      </c>
      <c r="X26" s="2" t="s">
        <v>7</v>
      </c>
      <c r="Y26" s="2" t="s">
        <v>7</v>
      </c>
      <c r="Z26" s="2" t="s">
        <v>7</v>
      </c>
      <c r="AA26" s="2" t="s">
        <v>7</v>
      </c>
      <c r="AB26" s="2" t="s">
        <v>7</v>
      </c>
      <c r="AC26" s="2" t="s">
        <v>7</v>
      </c>
      <c r="AD26" s="2" t="s">
        <v>7</v>
      </c>
      <c r="AE26" s="2" t="s">
        <v>7</v>
      </c>
      <c r="AF26" s="2" t="s">
        <v>7</v>
      </c>
      <c r="AG26" s="2" t="s">
        <v>7</v>
      </c>
      <c r="AH26" s="2" t="s">
        <v>7</v>
      </c>
      <c r="AI26" s="2">
        <f t="shared" si="0"/>
        <v>31</v>
      </c>
      <c r="AJ26" s="2">
        <f t="shared" si="1"/>
        <v>0</v>
      </c>
      <c r="AK26" s="21">
        <f t="shared" si="2"/>
        <v>0</v>
      </c>
    </row>
    <row r="27" spans="1:37" x14ac:dyDescent="0.25">
      <c r="A27" s="20">
        <v>1025</v>
      </c>
      <c r="B27" s="2" t="s">
        <v>130</v>
      </c>
      <c r="C27" s="9" t="s">
        <v>139</v>
      </c>
      <c r="D27" s="2" t="s">
        <v>7</v>
      </c>
      <c r="E27" s="2" t="s">
        <v>7</v>
      </c>
      <c r="F27" s="2" t="s">
        <v>7</v>
      </c>
      <c r="G27" s="2" t="s">
        <v>7</v>
      </c>
      <c r="H27" s="2" t="s">
        <v>7</v>
      </c>
      <c r="I27" s="2" t="s">
        <v>7</v>
      </c>
      <c r="J27" s="2" t="s">
        <v>7</v>
      </c>
      <c r="K27" s="2" t="s">
        <v>7</v>
      </c>
      <c r="L27" s="2" t="s">
        <v>7</v>
      </c>
      <c r="M27" s="2" t="s">
        <v>7</v>
      </c>
      <c r="N27" s="2" t="s">
        <v>7</v>
      </c>
      <c r="O27" s="2" t="s">
        <v>7</v>
      </c>
      <c r="P27" s="2" t="s">
        <v>7</v>
      </c>
      <c r="Q27" s="2" t="s">
        <v>7</v>
      </c>
      <c r="R27" s="2" t="s">
        <v>7</v>
      </c>
      <c r="S27" s="2" t="s">
        <v>7</v>
      </c>
      <c r="T27" s="2" t="s">
        <v>7</v>
      </c>
      <c r="U27" s="2" t="s">
        <v>8</v>
      </c>
      <c r="V27" s="2" t="s">
        <v>9</v>
      </c>
      <c r="W27" s="2" t="s">
        <v>7</v>
      </c>
      <c r="X27" s="2" t="s">
        <v>7</v>
      </c>
      <c r="Y27" s="2" t="s">
        <v>7</v>
      </c>
      <c r="Z27" s="2" t="s">
        <v>7</v>
      </c>
      <c r="AA27" s="2" t="s">
        <v>9</v>
      </c>
      <c r="AB27" s="2" t="s">
        <v>9</v>
      </c>
      <c r="AC27" s="2" t="s">
        <v>8</v>
      </c>
      <c r="AD27" s="2" t="s">
        <v>7</v>
      </c>
      <c r="AE27" s="2" t="s">
        <v>7</v>
      </c>
      <c r="AF27" s="2" t="s">
        <v>7</v>
      </c>
      <c r="AG27" s="2" t="s">
        <v>8</v>
      </c>
      <c r="AH27" s="2" t="s">
        <v>8</v>
      </c>
      <c r="AI27" s="2">
        <f t="shared" si="0"/>
        <v>24</v>
      </c>
      <c r="AJ27" s="2">
        <f t="shared" si="1"/>
        <v>4</v>
      </c>
      <c r="AK27" s="21">
        <f t="shared" si="2"/>
        <v>3</v>
      </c>
    </row>
    <row r="28" spans="1:37" x14ac:dyDescent="0.25">
      <c r="A28" s="20">
        <v>1026</v>
      </c>
      <c r="B28" s="2" t="s">
        <v>131</v>
      </c>
      <c r="C28" s="9" t="s">
        <v>135</v>
      </c>
      <c r="D28" s="2" t="s">
        <v>7</v>
      </c>
      <c r="E28" s="2" t="s">
        <v>7</v>
      </c>
      <c r="F28" s="2" t="s">
        <v>7</v>
      </c>
      <c r="G28" s="2" t="s">
        <v>8</v>
      </c>
      <c r="H28" s="2" t="s">
        <v>8</v>
      </c>
      <c r="I28" s="2" t="s">
        <v>7</v>
      </c>
      <c r="J28" s="2" t="s">
        <v>7</v>
      </c>
      <c r="K28" s="2" t="s">
        <v>7</v>
      </c>
      <c r="L28" s="2" t="s">
        <v>9</v>
      </c>
      <c r="M28" s="2" t="s">
        <v>7</v>
      </c>
      <c r="N28" s="2" t="s">
        <v>7</v>
      </c>
      <c r="O28" s="2" t="s">
        <v>7</v>
      </c>
      <c r="P28" s="2" t="s">
        <v>7</v>
      </c>
      <c r="Q28" s="2" t="s">
        <v>7</v>
      </c>
      <c r="R28" s="2" t="s">
        <v>7</v>
      </c>
      <c r="S28" s="2" t="s">
        <v>7</v>
      </c>
      <c r="T28" s="2" t="s">
        <v>7</v>
      </c>
      <c r="U28" s="2" t="s">
        <v>7</v>
      </c>
      <c r="V28" s="2" t="s">
        <v>7</v>
      </c>
      <c r="W28" s="2" t="s">
        <v>7</v>
      </c>
      <c r="X28" s="2" t="s">
        <v>7</v>
      </c>
      <c r="Y28" s="2" t="s">
        <v>7</v>
      </c>
      <c r="Z28" s="2" t="s">
        <v>7</v>
      </c>
      <c r="AA28" s="2" t="s">
        <v>7</v>
      </c>
      <c r="AB28" s="2" t="s">
        <v>7</v>
      </c>
      <c r="AC28" s="2" t="s">
        <v>7</v>
      </c>
      <c r="AD28" s="2" t="s">
        <v>7</v>
      </c>
      <c r="AE28" s="2" t="s">
        <v>7</v>
      </c>
      <c r="AF28" s="2" t="s">
        <v>7</v>
      </c>
      <c r="AG28" s="2" t="s">
        <v>7</v>
      </c>
      <c r="AH28" s="2" t="s">
        <v>7</v>
      </c>
      <c r="AI28" s="2">
        <f t="shared" si="0"/>
        <v>28</v>
      </c>
      <c r="AJ28" s="2">
        <f t="shared" si="1"/>
        <v>2</v>
      </c>
      <c r="AK28" s="21">
        <f t="shared" si="2"/>
        <v>1</v>
      </c>
    </row>
    <row r="29" spans="1:37" x14ac:dyDescent="0.25">
      <c r="A29" s="20">
        <v>1027</v>
      </c>
      <c r="B29" s="2" t="s">
        <v>132</v>
      </c>
      <c r="C29" s="9" t="s">
        <v>136</v>
      </c>
      <c r="D29" s="2" t="s">
        <v>7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2" t="s">
        <v>7</v>
      </c>
      <c r="L29" s="2" t="s">
        <v>7</v>
      </c>
      <c r="M29" s="2" t="s">
        <v>7</v>
      </c>
      <c r="N29" s="2" t="s">
        <v>7</v>
      </c>
      <c r="O29" s="2" t="s">
        <v>7</v>
      </c>
      <c r="P29" s="2" t="s">
        <v>7</v>
      </c>
      <c r="Q29" s="2" t="s">
        <v>7</v>
      </c>
      <c r="R29" s="2" t="s">
        <v>7</v>
      </c>
      <c r="S29" s="2" t="s">
        <v>7</v>
      </c>
      <c r="T29" s="2" t="s">
        <v>7</v>
      </c>
      <c r="U29" s="2" t="s">
        <v>7</v>
      </c>
      <c r="V29" s="2" t="s">
        <v>7</v>
      </c>
      <c r="W29" s="2" t="s">
        <v>7</v>
      </c>
      <c r="X29" s="2" t="s">
        <v>7</v>
      </c>
      <c r="Y29" s="2" t="s">
        <v>7</v>
      </c>
      <c r="Z29" s="2" t="s">
        <v>7</v>
      </c>
      <c r="AA29" s="2" t="s">
        <v>7</v>
      </c>
      <c r="AB29" s="2" t="s">
        <v>7</v>
      </c>
      <c r="AC29" s="2" t="s">
        <v>7</v>
      </c>
      <c r="AD29" s="2" t="s">
        <v>7</v>
      </c>
      <c r="AE29" s="2" t="s">
        <v>7</v>
      </c>
      <c r="AF29" s="2" t="s">
        <v>7</v>
      </c>
      <c r="AG29" s="2" t="s">
        <v>7</v>
      </c>
      <c r="AH29" s="2" t="s">
        <v>7</v>
      </c>
      <c r="AI29" s="2">
        <f t="shared" si="0"/>
        <v>31</v>
      </c>
      <c r="AJ29" s="2">
        <f t="shared" si="1"/>
        <v>0</v>
      </c>
      <c r="AK29" s="21">
        <f t="shared" si="2"/>
        <v>0</v>
      </c>
    </row>
    <row r="30" spans="1:37" x14ac:dyDescent="0.25">
      <c r="A30" s="27">
        <v>1028</v>
      </c>
      <c r="B30" s="28" t="s">
        <v>133</v>
      </c>
      <c r="C30" s="29" t="s">
        <v>137</v>
      </c>
      <c r="D30" s="28" t="s">
        <v>7</v>
      </c>
      <c r="E30" s="28" t="s">
        <v>7</v>
      </c>
      <c r="F30" s="28" t="s">
        <v>7</v>
      </c>
      <c r="G30" s="28" t="s">
        <v>7</v>
      </c>
      <c r="H30" s="28" t="s">
        <v>7</v>
      </c>
      <c r="I30" s="28" t="s">
        <v>7</v>
      </c>
      <c r="J30" s="28" t="s">
        <v>7</v>
      </c>
      <c r="K30" s="28" t="s">
        <v>7</v>
      </c>
      <c r="L30" s="28" t="s">
        <v>7</v>
      </c>
      <c r="M30" s="28" t="s">
        <v>7</v>
      </c>
      <c r="N30" s="28" t="s">
        <v>7</v>
      </c>
      <c r="O30" s="28" t="s">
        <v>7</v>
      </c>
      <c r="P30" s="28" t="s">
        <v>7</v>
      </c>
      <c r="Q30" s="28" t="s">
        <v>7</v>
      </c>
      <c r="R30" s="28" t="s">
        <v>7</v>
      </c>
      <c r="S30" s="28" t="s">
        <v>7</v>
      </c>
      <c r="T30" s="28" t="s">
        <v>7</v>
      </c>
      <c r="U30" s="28" t="s">
        <v>7</v>
      </c>
      <c r="V30" s="28" t="s">
        <v>7</v>
      </c>
      <c r="W30" s="28" t="s">
        <v>7</v>
      </c>
      <c r="X30" s="28" t="s">
        <v>7</v>
      </c>
      <c r="Y30" s="28" t="s">
        <v>7</v>
      </c>
      <c r="Z30" s="28" t="s">
        <v>7</v>
      </c>
      <c r="AA30" s="28" t="s">
        <v>7</v>
      </c>
      <c r="AB30" s="28" t="s">
        <v>7</v>
      </c>
      <c r="AC30" s="28" t="s">
        <v>9</v>
      </c>
      <c r="AD30" s="28" t="s">
        <v>9</v>
      </c>
      <c r="AE30" s="28" t="s">
        <v>7</v>
      </c>
      <c r="AF30" s="28" t="s">
        <v>7</v>
      </c>
      <c r="AG30" s="28" t="s">
        <v>7</v>
      </c>
      <c r="AH30" s="28" t="s">
        <v>7</v>
      </c>
      <c r="AI30" s="28">
        <f t="shared" si="0"/>
        <v>29</v>
      </c>
      <c r="AJ30" s="28">
        <f t="shared" si="1"/>
        <v>0</v>
      </c>
      <c r="AK30" s="30">
        <f t="shared" si="2"/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EA7-59FD-4FA3-815B-EB5EEFB75AAF}">
  <sheetPr codeName="Sheet2"/>
  <dimension ref="A1:S912"/>
  <sheetViews>
    <sheetView zoomScale="90" zoomScaleNormal="90" workbookViewId="0">
      <pane ySplit="3" topLeftCell="A4" activePane="bottomLeft" state="frozen"/>
      <selection pane="bottomLeft" activeCell="N10" sqref="N10"/>
    </sheetView>
  </sheetViews>
  <sheetFormatPr defaultRowHeight="15" x14ac:dyDescent="0.25"/>
  <cols>
    <col min="1" max="1" width="9.42578125" customWidth="1"/>
    <col min="2" max="2" width="17.5703125" customWidth="1"/>
    <col min="3" max="3" width="13.85546875" style="14" customWidth="1"/>
    <col min="4" max="4" width="9.7109375" customWidth="1"/>
    <col min="5" max="5" width="10.7109375" customWidth="1"/>
    <col min="6" max="6" width="9.42578125" customWidth="1"/>
    <col min="7" max="7" width="11.7109375" customWidth="1"/>
    <col min="8" max="8" width="12.7109375" customWidth="1"/>
    <col min="12" max="12" width="16" bestFit="1" customWidth="1"/>
    <col min="13" max="13" width="12.7109375" bestFit="1" customWidth="1"/>
  </cols>
  <sheetData>
    <row r="1" spans="1:19" x14ac:dyDescent="0.25">
      <c r="A1" s="18"/>
      <c r="B1" s="18"/>
      <c r="C1" s="18"/>
      <c r="D1" s="18"/>
      <c r="E1" s="18"/>
      <c r="F1" s="18"/>
      <c r="G1" s="18"/>
      <c r="H1" s="18"/>
      <c r="I1" s="18"/>
      <c r="L1" s="31">
        <v>1027</v>
      </c>
      <c r="M1" s="32"/>
      <c r="N1" s="32"/>
      <c r="O1" s="32"/>
      <c r="P1" s="32"/>
      <c r="Q1" s="32"/>
      <c r="R1" s="32"/>
    </row>
    <row r="2" spans="1:19" x14ac:dyDescent="0.25">
      <c r="A2" s="18"/>
      <c r="B2" s="18"/>
      <c r="C2" s="18"/>
      <c r="D2" s="18"/>
      <c r="E2" s="18"/>
      <c r="F2" s="18"/>
      <c r="G2" s="18"/>
      <c r="H2" s="18"/>
      <c r="I2" s="18"/>
      <c r="L2" s="32"/>
      <c r="M2" s="32"/>
      <c r="N2" s="32"/>
      <c r="O2" s="32"/>
      <c r="P2" s="32"/>
      <c r="Q2" s="32"/>
      <c r="R2" s="32"/>
    </row>
    <row r="3" spans="1:19" ht="42.75" customHeight="1" x14ac:dyDescent="0.25">
      <c r="A3" s="1" t="s">
        <v>41</v>
      </c>
      <c r="B3" s="6" t="s">
        <v>0</v>
      </c>
      <c r="C3" s="6" t="s">
        <v>1</v>
      </c>
      <c r="D3" s="1" t="s">
        <v>42</v>
      </c>
      <c r="E3" s="1" t="s">
        <v>43</v>
      </c>
      <c r="F3" s="1" t="s">
        <v>44</v>
      </c>
      <c r="G3" s="1" t="s">
        <v>45</v>
      </c>
      <c r="H3" s="4" t="s">
        <v>105</v>
      </c>
      <c r="I3" s="4" t="s">
        <v>46</v>
      </c>
      <c r="J3" s="14"/>
      <c r="K3" s="1" t="s">
        <v>41</v>
      </c>
      <c r="L3" s="6" t="s">
        <v>0</v>
      </c>
      <c r="M3" s="6" t="s">
        <v>1</v>
      </c>
      <c r="N3" s="1" t="s">
        <v>42</v>
      </c>
      <c r="O3" s="1" t="s">
        <v>43</v>
      </c>
      <c r="P3" s="1" t="s">
        <v>44</v>
      </c>
      <c r="Q3" s="1" t="s">
        <v>45</v>
      </c>
      <c r="R3" s="4" t="s">
        <v>105</v>
      </c>
      <c r="S3" s="4" t="s">
        <v>46</v>
      </c>
    </row>
    <row r="4" spans="1:19" x14ac:dyDescent="0.25">
      <c r="A4">
        <v>1001</v>
      </c>
      <c r="B4" t="str">
        <f>_xlfn.IFNA(INDEX('Attandance Tracker'!$B$3:$B$30,MATCH($A4,'Attandance Tracker'!$A$3:$A$30,0)),"")</f>
        <v xml:space="preserve"> Amit</v>
      </c>
      <c r="C4" s="14" t="str">
        <f>_xlfn.IFNA(INDEX('Attandance Tracker'!$C$3:$C$30,MATCH($A4,'Attandance Tracker'!$A$3:$A$30,0)),"")</f>
        <v>Management</v>
      </c>
      <c r="D4" s="11">
        <v>1</v>
      </c>
      <c r="E4" s="7">
        <v>0.33333333333333331</v>
      </c>
      <c r="F4" s="7">
        <v>0.75</v>
      </c>
      <c r="G4" s="7">
        <f>IF(I4="Present",MIN(F4-E4,8/24),IF(I4="Absent",8/24,0))</f>
        <v>0.33333333333333331</v>
      </c>
      <c r="H4" s="7">
        <f>IF(I4="Present",MAX(0,F4-E4-8/24),0)</f>
        <v>8.333333333333337E-2</v>
      </c>
      <c r="I4" t="str">
        <f>IFERROR(IF(INDEX('Attandance Tracker'!$D$3:$AH$50,MATCH($A4,'Attandance Tracker'!$A$3:$A$50,0),DAY($D4))="P","Present",IF(INDEX('Attandance Tracker'!$D$3:$AH$50,MATCH($A4,'Attandance Tracker'!$A$3:$A$50,0),DAY($D4))="A","Absent","Leave")),"")</f>
        <v>Present</v>
      </c>
    </row>
    <row r="5" spans="1:19" x14ac:dyDescent="0.25">
      <c r="A5">
        <v>1001</v>
      </c>
      <c r="B5" t="str">
        <f>_xlfn.IFNA(INDEX('Attandance Tracker'!$B$3:$B$30,MATCH($A5,'Attandance Tracker'!$A$3:$A$30,0)),"")</f>
        <v xml:space="preserve"> Amit</v>
      </c>
      <c r="C5" s="14" t="str">
        <f>_xlfn.IFNA(INDEX('Attandance Tracker'!$C$3:$C$30,MATCH($A5,'Attandance Tracker'!$A$3:$A$30,0)),"")</f>
        <v>Management</v>
      </c>
      <c r="D5" s="11">
        <v>2</v>
      </c>
      <c r="E5" s="7">
        <v>0.375</v>
      </c>
      <c r="F5" s="7">
        <v>0.75</v>
      </c>
      <c r="G5" s="7">
        <f t="shared" ref="G5:G68" si="0">IF(I5="Present",MIN(F5-E5,8/24),IF(I5="Absent",8/24,0))</f>
        <v>0.33333333333333331</v>
      </c>
      <c r="H5" s="7">
        <f t="shared" ref="H5:H68" si="1">IF(I5="Present",MAX(0,F5-E5-8/24),0)</f>
        <v>4.1666666666666685E-2</v>
      </c>
      <c r="I5" t="str">
        <f>IFERROR(IF(INDEX('Attandance Tracker'!$D$3:$AH$50,MATCH($A5,'Attandance Tracker'!$A$3:$A$50,0),DAY($D5))="P","Present",IF(INDEX('Attandance Tracker'!$D$3:$AH$50,MATCH($A5,'Attandance Tracker'!$A$3:$A$50,0),DAY($D5))="A","Absent","Leave")),"")</f>
        <v>Present</v>
      </c>
      <c r="O5" s="19"/>
      <c r="P5" s="19"/>
      <c r="Q5" s="19"/>
      <c r="R5" s="19"/>
    </row>
    <row r="6" spans="1:19" x14ac:dyDescent="0.25">
      <c r="A6">
        <v>1001</v>
      </c>
      <c r="B6" t="str">
        <f>_xlfn.IFNA(INDEX('Attandance Tracker'!$B$3:$B$30,MATCH($A6,'Attandance Tracker'!$A$3:$A$30,0)),"")</f>
        <v xml:space="preserve"> Amit</v>
      </c>
      <c r="C6" s="14" t="str">
        <f>_xlfn.IFNA(INDEX('Attandance Tracker'!$C$3:$C$30,MATCH($A6,'Attandance Tracker'!$A$3:$A$30,0)),"")</f>
        <v>Management</v>
      </c>
      <c r="D6" s="11">
        <v>3</v>
      </c>
      <c r="E6" s="7">
        <v>0.375</v>
      </c>
      <c r="F6" s="7">
        <v>0.83333333333333337</v>
      </c>
      <c r="G6" s="7">
        <f t="shared" si="0"/>
        <v>0.33333333333333331</v>
      </c>
      <c r="H6" s="7">
        <f t="shared" si="1"/>
        <v>0.12500000000000006</v>
      </c>
      <c r="I6" t="str">
        <f>IFERROR(IF(INDEX('Attandance Tracker'!$D$3:$AH$50,MATCH($A6,'Attandance Tracker'!$A$3:$A$50,0),DAY($D6))="P","Present",IF(INDEX('Attandance Tracker'!$D$3:$AH$50,MATCH($A6,'Attandance Tracker'!$A$3:$A$50,0),DAY($D6))="A","Absent","Leave")),"")</f>
        <v>Present</v>
      </c>
      <c r="O6" s="19" t="str">
        <f t="shared" ref="O6:O29" si="2">IFERROR(INDEX($E$4:$E$1000,SMALL(IF($A$4:$A$1000=$O$2,ROW($A$4:$A$1000)-3),ROW(A3))),"")</f>
        <v/>
      </c>
      <c r="P6" s="19" t="str">
        <f t="shared" ref="P6:P29" si="3">IFERROR(INDEX($F$4:$F$1000,SMALL(IF($A$4:$A$1000=$O$2,ROW($A$4:$A$1000)-3),ROW(A3))),"")</f>
        <v/>
      </c>
      <c r="Q6" s="19" t="str">
        <f t="shared" ref="Q6:Q29" si="4">IFERROR(INDEX($G$4:$G$1000,SMALL(IF($A$4:$A$1000=$O$2,ROW($A$4:$A$1000)-3),ROW(A3))),"")</f>
        <v/>
      </c>
      <c r="R6" s="19" t="str">
        <f t="shared" ref="R6:R29" si="5">IFERROR(INDEX($H$4:$H$1000,SMALL(IF($A$4:$A$1000=$O$2,ROW($A$4:$A$1000)-3),ROW(A3))),"")</f>
        <v/>
      </c>
      <c r="S6" t="str">
        <f t="shared" ref="S6:S29" si="6">IFERROR(INDEX($I$4:$I$1000,SMALL(IF($A$4:$A$1000=$O$2,ROW($A$4:$A$1000)-3),ROW(A3))),"")</f>
        <v/>
      </c>
    </row>
    <row r="7" spans="1:19" x14ac:dyDescent="0.25">
      <c r="A7">
        <v>1001</v>
      </c>
      <c r="B7" t="str">
        <f>_xlfn.IFNA(INDEX('Attandance Tracker'!$B$3:$B$30,MATCH($A7,'Attandance Tracker'!$A$3:$A$30,0)),"")</f>
        <v xml:space="preserve"> Amit</v>
      </c>
      <c r="C7" s="14" t="str">
        <f>_xlfn.IFNA(INDEX('Attandance Tracker'!$C$3:$C$30,MATCH($A7,'Attandance Tracker'!$A$3:$A$30,0)),"")</f>
        <v>Management</v>
      </c>
      <c r="D7" s="12">
        <v>4</v>
      </c>
      <c r="E7" s="7">
        <v>0.375</v>
      </c>
      <c r="F7" s="7">
        <v>0.83333333333333337</v>
      </c>
      <c r="G7" s="7">
        <f t="shared" si="0"/>
        <v>0.33333333333333331</v>
      </c>
      <c r="H7" s="7">
        <f t="shared" si="1"/>
        <v>0.12500000000000006</v>
      </c>
      <c r="I7" t="str">
        <f>IFERROR(IF(INDEX('Attandance Tracker'!$D$3:$AH$50,MATCH($A7,'Attandance Tracker'!$A$3:$A$50,0),DAY($D7))="P","Present",IF(INDEX('Attandance Tracker'!$D$3:$AH$50,MATCH($A7,'Attandance Tracker'!$A$3:$A$50,0),DAY($D7))="A","Absent","Leave")),"")</f>
        <v>Present</v>
      </c>
      <c r="O7" s="19" t="str">
        <f t="shared" si="2"/>
        <v/>
      </c>
      <c r="P7" s="19" t="str">
        <f t="shared" si="3"/>
        <v/>
      </c>
      <c r="Q7" s="19" t="str">
        <f t="shared" si="4"/>
        <v/>
      </c>
      <c r="R7" s="19" t="str">
        <f t="shared" si="5"/>
        <v/>
      </c>
      <c r="S7" t="str">
        <f t="shared" si="6"/>
        <v/>
      </c>
    </row>
    <row r="8" spans="1:19" x14ac:dyDescent="0.25">
      <c r="A8">
        <v>1001</v>
      </c>
      <c r="B8" t="str">
        <f>_xlfn.IFNA(INDEX('Attandance Tracker'!$B$3:$B$30,MATCH($A8,'Attandance Tracker'!$A$3:$A$30,0)),"")</f>
        <v xml:space="preserve"> Amit</v>
      </c>
      <c r="C8" s="14" t="str">
        <f>_xlfn.IFNA(INDEX('Attandance Tracker'!$C$3:$C$30,MATCH($A8,'Attandance Tracker'!$A$3:$A$30,0)),"")</f>
        <v>Management</v>
      </c>
      <c r="D8" s="12">
        <v>5</v>
      </c>
      <c r="E8" s="7">
        <v>0.33333333333333331</v>
      </c>
      <c r="F8" s="7">
        <v>0.83333333333333337</v>
      </c>
      <c r="G8" s="7">
        <f t="shared" si="0"/>
        <v>0.33333333333333331</v>
      </c>
      <c r="H8" s="7">
        <f t="shared" si="1"/>
        <v>0.16666666666666669</v>
      </c>
      <c r="I8" t="str">
        <f>IFERROR(IF(INDEX('Attandance Tracker'!$D$3:$AH$50,MATCH($A8,'Attandance Tracker'!$A$3:$A$50,0),DAY($D8))="P","Present",IF(INDEX('Attandance Tracker'!$D$3:$AH$50,MATCH($A8,'Attandance Tracker'!$A$3:$A$50,0),DAY($D8))="A","Absent","Leave")),"")</f>
        <v>Present</v>
      </c>
      <c r="O8" s="19" t="str">
        <f t="shared" si="2"/>
        <v/>
      </c>
      <c r="P8" s="19" t="str">
        <f t="shared" si="3"/>
        <v/>
      </c>
      <c r="Q8" s="19" t="str">
        <f t="shared" si="4"/>
        <v/>
      </c>
      <c r="R8" s="19" t="str">
        <f t="shared" si="5"/>
        <v/>
      </c>
      <c r="S8" t="str">
        <f t="shared" si="6"/>
        <v/>
      </c>
    </row>
    <row r="9" spans="1:19" x14ac:dyDescent="0.25">
      <c r="A9">
        <v>1001</v>
      </c>
      <c r="B9" t="str">
        <f>_xlfn.IFNA(INDEX('Attandance Tracker'!$B$3:$B$30,MATCH($A9,'Attandance Tracker'!$A$3:$A$30,0)),"")</f>
        <v xml:space="preserve"> Amit</v>
      </c>
      <c r="C9" s="14" t="str">
        <f>_xlfn.IFNA(INDEX('Attandance Tracker'!$C$3:$C$30,MATCH($A9,'Attandance Tracker'!$A$3:$A$30,0)),"")</f>
        <v>Management</v>
      </c>
      <c r="D9" s="12">
        <v>6</v>
      </c>
      <c r="E9" s="7">
        <v>0.33333333333333331</v>
      </c>
      <c r="F9" s="7">
        <v>0.79166666666666663</v>
      </c>
      <c r="G9" s="7">
        <f t="shared" si="0"/>
        <v>0.33333333333333331</v>
      </c>
      <c r="H9" s="7">
        <f t="shared" si="1"/>
        <v>0.125</v>
      </c>
      <c r="I9" t="str">
        <f>IFERROR(IF(INDEX('Attandance Tracker'!$D$3:$AH$50,MATCH($A9,'Attandance Tracker'!$A$3:$A$50,0),DAY($D9))="P","Present",IF(INDEX('Attandance Tracker'!$D$3:$AH$50,MATCH($A9,'Attandance Tracker'!$A$3:$A$50,0),DAY($D9))="A","Absent","Leave")),"")</f>
        <v>Present</v>
      </c>
      <c r="O9" s="19" t="str">
        <f t="shared" si="2"/>
        <v/>
      </c>
      <c r="P9" s="19" t="str">
        <f t="shared" si="3"/>
        <v/>
      </c>
      <c r="Q9" s="19" t="str">
        <f t="shared" si="4"/>
        <v/>
      </c>
      <c r="R9" s="19" t="str">
        <f t="shared" si="5"/>
        <v/>
      </c>
      <c r="S9" t="str">
        <f t="shared" si="6"/>
        <v/>
      </c>
    </row>
    <row r="10" spans="1:19" x14ac:dyDescent="0.25">
      <c r="A10">
        <v>1001</v>
      </c>
      <c r="B10" t="str">
        <f>_xlfn.IFNA(INDEX('Attandance Tracker'!$B$3:$B$30,MATCH($A10,'Attandance Tracker'!$A$3:$A$30,0)),"")</f>
        <v xml:space="preserve"> Amit</v>
      </c>
      <c r="C10" s="14" t="str">
        <f>_xlfn.IFNA(INDEX('Attandance Tracker'!$C$3:$C$30,MATCH($A10,'Attandance Tracker'!$A$3:$A$30,0)),"")</f>
        <v>Management</v>
      </c>
      <c r="D10" s="12">
        <v>7</v>
      </c>
      <c r="E10" s="7">
        <v>0.33333333333333331</v>
      </c>
      <c r="F10" s="7">
        <v>0.75</v>
      </c>
      <c r="G10" s="7">
        <f t="shared" si="0"/>
        <v>0.33333333333333331</v>
      </c>
      <c r="H10" s="7">
        <f t="shared" si="1"/>
        <v>8.333333333333337E-2</v>
      </c>
      <c r="I10" t="str">
        <f>IFERROR(IF(INDEX('Attandance Tracker'!$D$3:$AH$50,MATCH($A10,'Attandance Tracker'!$A$3:$A$50,0),DAY($D10))="P","Present",IF(INDEX('Attandance Tracker'!$D$3:$AH$50,MATCH($A10,'Attandance Tracker'!$A$3:$A$50,0),DAY($D10))="A","Absent","Leave")),"")</f>
        <v>Present</v>
      </c>
      <c r="O10" s="19" t="str">
        <f t="shared" si="2"/>
        <v/>
      </c>
      <c r="P10" s="19" t="str">
        <f t="shared" si="3"/>
        <v/>
      </c>
      <c r="Q10" s="19" t="str">
        <f t="shared" si="4"/>
        <v/>
      </c>
      <c r="R10" s="19" t="str">
        <f t="shared" si="5"/>
        <v/>
      </c>
      <c r="S10" t="str">
        <f t="shared" si="6"/>
        <v/>
      </c>
    </row>
    <row r="11" spans="1:19" x14ac:dyDescent="0.25">
      <c r="A11">
        <v>1001</v>
      </c>
      <c r="B11" t="str">
        <f>_xlfn.IFNA(INDEX('Attandance Tracker'!$B$3:$B$30,MATCH($A11,'Attandance Tracker'!$A$3:$A$30,0)),"")</f>
        <v xml:space="preserve"> Amit</v>
      </c>
      <c r="C11" s="14" t="str">
        <f>_xlfn.IFNA(INDEX('Attandance Tracker'!$C$3:$C$30,MATCH($A11,'Attandance Tracker'!$A$3:$A$30,0)),"")</f>
        <v>Management</v>
      </c>
      <c r="D11" s="12">
        <v>8</v>
      </c>
      <c r="E11" s="7">
        <v>0.33333333333333331</v>
      </c>
      <c r="F11" s="7">
        <v>0.75</v>
      </c>
      <c r="G11" s="7">
        <f t="shared" si="0"/>
        <v>0.33333333333333331</v>
      </c>
      <c r="H11" s="7">
        <f t="shared" si="1"/>
        <v>8.333333333333337E-2</v>
      </c>
      <c r="I11" t="str">
        <f>IFERROR(IF(INDEX('Attandance Tracker'!$D$3:$AH$50,MATCH($A11,'Attandance Tracker'!$A$3:$A$50,0),DAY($D11))="P","Present",IF(INDEX('Attandance Tracker'!$D$3:$AH$50,MATCH($A11,'Attandance Tracker'!$A$3:$A$50,0),DAY($D11))="A","Absent","Leave")),"")</f>
        <v>Present</v>
      </c>
      <c r="O11" s="19" t="str">
        <f t="shared" si="2"/>
        <v/>
      </c>
      <c r="P11" s="19" t="str">
        <f t="shared" si="3"/>
        <v/>
      </c>
      <c r="Q11" s="19" t="str">
        <f t="shared" si="4"/>
        <v/>
      </c>
      <c r="R11" s="19" t="str">
        <f t="shared" si="5"/>
        <v/>
      </c>
      <c r="S11" t="str">
        <f t="shared" si="6"/>
        <v/>
      </c>
    </row>
    <row r="12" spans="1:19" x14ac:dyDescent="0.25">
      <c r="A12">
        <v>1001</v>
      </c>
      <c r="B12" t="str">
        <f>_xlfn.IFNA(INDEX('Attandance Tracker'!$B$3:$B$30,MATCH($A12,'Attandance Tracker'!$A$3:$A$30,0)),"")</f>
        <v xml:space="preserve"> Amit</v>
      </c>
      <c r="C12" s="14" t="str">
        <f>_xlfn.IFNA(INDEX('Attandance Tracker'!$C$3:$C$30,MATCH($A12,'Attandance Tracker'!$A$3:$A$30,0)),"")</f>
        <v>Management</v>
      </c>
      <c r="D12" s="12">
        <v>9</v>
      </c>
      <c r="E12" s="7">
        <v>0.33333333333333331</v>
      </c>
      <c r="F12" s="7">
        <v>0.75</v>
      </c>
      <c r="G12" s="7">
        <f t="shared" si="0"/>
        <v>0.33333333333333331</v>
      </c>
      <c r="H12" s="7">
        <f t="shared" si="1"/>
        <v>8.333333333333337E-2</v>
      </c>
      <c r="I12" t="str">
        <f>IFERROR(IF(INDEX('Attandance Tracker'!$D$3:$AH$50,MATCH($A12,'Attandance Tracker'!$A$3:$A$50,0),DAY($D12))="P","Present",IF(INDEX('Attandance Tracker'!$D$3:$AH$50,MATCH($A12,'Attandance Tracker'!$A$3:$A$50,0),DAY($D12))="A","Absent","Leave")),"")</f>
        <v>Present</v>
      </c>
      <c r="J12" s="5"/>
      <c r="O12" s="19" t="str">
        <f t="shared" si="2"/>
        <v/>
      </c>
      <c r="P12" s="19" t="str">
        <f t="shared" si="3"/>
        <v/>
      </c>
      <c r="Q12" s="19" t="str">
        <f t="shared" si="4"/>
        <v/>
      </c>
      <c r="R12" s="19" t="str">
        <f t="shared" si="5"/>
        <v/>
      </c>
      <c r="S12" t="str">
        <f t="shared" si="6"/>
        <v/>
      </c>
    </row>
    <row r="13" spans="1:19" x14ac:dyDescent="0.25">
      <c r="A13">
        <v>1001</v>
      </c>
      <c r="B13" t="str">
        <f>_xlfn.IFNA(INDEX('Attandance Tracker'!$B$3:$B$30,MATCH($A13,'Attandance Tracker'!$A$3:$A$30,0)),"")</f>
        <v xml:space="preserve"> Amit</v>
      </c>
      <c r="C13" s="14" t="str">
        <f>_xlfn.IFNA(INDEX('Attandance Tracker'!$C$3:$C$30,MATCH($A13,'Attandance Tracker'!$A$3:$A$30,0)),"")</f>
        <v>Management</v>
      </c>
      <c r="D13" s="12">
        <v>10</v>
      </c>
      <c r="E13" s="7">
        <v>0.33333333333333331</v>
      </c>
      <c r="F13" s="7">
        <v>0.75</v>
      </c>
      <c r="G13" s="7">
        <f t="shared" si="0"/>
        <v>0.33333333333333331</v>
      </c>
      <c r="H13" s="7">
        <f t="shared" si="1"/>
        <v>8.333333333333337E-2</v>
      </c>
      <c r="I13" t="str">
        <f>IFERROR(IF(INDEX('Attandance Tracker'!$D$3:$AH$50,MATCH($A13,'Attandance Tracker'!$A$3:$A$50,0),DAY($D13))="P","Present",IF(INDEX('Attandance Tracker'!$D$3:$AH$50,MATCH($A13,'Attandance Tracker'!$A$3:$A$50,0),DAY($D13))="A","Absent","Leave")),"")</f>
        <v>Present</v>
      </c>
      <c r="O13" s="19" t="str">
        <f t="shared" si="2"/>
        <v/>
      </c>
      <c r="P13" s="19" t="str">
        <f t="shared" si="3"/>
        <v/>
      </c>
      <c r="Q13" s="19" t="str">
        <f t="shared" si="4"/>
        <v/>
      </c>
      <c r="R13" s="19" t="str">
        <f t="shared" si="5"/>
        <v/>
      </c>
      <c r="S13" t="str">
        <f t="shared" si="6"/>
        <v/>
      </c>
    </row>
    <row r="14" spans="1:19" x14ac:dyDescent="0.25">
      <c r="A14">
        <v>1001</v>
      </c>
      <c r="B14" t="str">
        <f>_xlfn.IFNA(INDEX('Attandance Tracker'!$B$3:$B$30,MATCH($A14,'Attandance Tracker'!$A$3:$A$30,0)),"")</f>
        <v xml:space="preserve"> Amit</v>
      </c>
      <c r="C14" s="14" t="str">
        <f>_xlfn.IFNA(INDEX('Attandance Tracker'!$C$3:$C$30,MATCH($A14,'Attandance Tracker'!$A$3:$A$30,0)),"")</f>
        <v>Management</v>
      </c>
      <c r="D14" s="12">
        <v>11</v>
      </c>
      <c r="E14" s="7">
        <v>0.33333333333333331</v>
      </c>
      <c r="F14" s="7">
        <v>0.75</v>
      </c>
      <c r="G14" s="7">
        <f t="shared" si="0"/>
        <v>0.33333333333333331</v>
      </c>
      <c r="H14" s="7">
        <f t="shared" si="1"/>
        <v>8.333333333333337E-2</v>
      </c>
      <c r="I14" t="str">
        <f>IFERROR(IF(INDEX('Attandance Tracker'!$D$3:$AH$50,MATCH($A14,'Attandance Tracker'!$A$3:$A$50,0),DAY($D14))="P","Present",IF(INDEX('Attandance Tracker'!$D$3:$AH$50,MATCH($A14,'Attandance Tracker'!$A$3:$A$50,0),DAY($D14))="A","Absent","Leave")),"")</f>
        <v>Present</v>
      </c>
      <c r="O14" s="19" t="str">
        <f t="shared" si="2"/>
        <v/>
      </c>
      <c r="P14" s="19" t="str">
        <f t="shared" si="3"/>
        <v/>
      </c>
      <c r="Q14" s="19" t="str">
        <f t="shared" si="4"/>
        <v/>
      </c>
      <c r="R14" s="19" t="str">
        <f t="shared" si="5"/>
        <v/>
      </c>
      <c r="S14" t="str">
        <f t="shared" si="6"/>
        <v/>
      </c>
    </row>
    <row r="15" spans="1:19" x14ac:dyDescent="0.25">
      <c r="A15">
        <v>1001</v>
      </c>
      <c r="B15" t="str">
        <f>_xlfn.IFNA(INDEX('Attandance Tracker'!$B$3:$B$30,MATCH($A15,'Attandance Tracker'!$A$3:$A$30,0)),"")</f>
        <v xml:space="preserve"> Amit</v>
      </c>
      <c r="C15" s="14" t="str">
        <f>_xlfn.IFNA(INDEX('Attandance Tracker'!$C$3:$C$30,MATCH($A15,'Attandance Tracker'!$A$3:$A$30,0)),"")</f>
        <v>Management</v>
      </c>
      <c r="D15" s="12">
        <v>12</v>
      </c>
      <c r="E15" s="7">
        <v>0.375</v>
      </c>
      <c r="F15" s="7">
        <v>0.75</v>
      </c>
      <c r="G15" s="7">
        <f t="shared" si="0"/>
        <v>0.33333333333333331</v>
      </c>
      <c r="H15" s="7">
        <f t="shared" si="1"/>
        <v>4.1666666666666685E-2</v>
      </c>
      <c r="I15" t="str">
        <f>IFERROR(IF(INDEX('Attandance Tracker'!$D$3:$AH$50,MATCH($A15,'Attandance Tracker'!$A$3:$A$50,0),DAY($D15))="P","Present",IF(INDEX('Attandance Tracker'!$D$3:$AH$50,MATCH($A15,'Attandance Tracker'!$A$3:$A$50,0),DAY($D15))="A","Absent","Leave")),"")</f>
        <v>Present</v>
      </c>
      <c r="O15" s="19" t="str">
        <f t="shared" si="2"/>
        <v/>
      </c>
      <c r="P15" s="19" t="str">
        <f t="shared" si="3"/>
        <v/>
      </c>
      <c r="Q15" s="19" t="str">
        <f t="shared" si="4"/>
        <v/>
      </c>
      <c r="R15" s="19" t="str">
        <f t="shared" si="5"/>
        <v/>
      </c>
      <c r="S15" t="str">
        <f t="shared" si="6"/>
        <v/>
      </c>
    </row>
    <row r="16" spans="1:19" x14ac:dyDescent="0.25">
      <c r="A16">
        <v>1001</v>
      </c>
      <c r="B16" t="str">
        <f>_xlfn.IFNA(INDEX('Attandance Tracker'!$B$3:$B$30,MATCH($A16,'Attandance Tracker'!$A$3:$A$30,0)),"")</f>
        <v xml:space="preserve"> Amit</v>
      </c>
      <c r="C16" s="14" t="str">
        <f>_xlfn.IFNA(INDEX('Attandance Tracker'!$C$3:$C$30,MATCH($A16,'Attandance Tracker'!$A$3:$A$30,0)),"")</f>
        <v>Management</v>
      </c>
      <c r="D16" s="12">
        <v>13</v>
      </c>
      <c r="E16" s="7">
        <v>0.375</v>
      </c>
      <c r="F16" s="7">
        <v>0.83333333333333337</v>
      </c>
      <c r="G16" s="7">
        <f t="shared" si="0"/>
        <v>0.33333333333333331</v>
      </c>
      <c r="H16" s="7">
        <f t="shared" si="1"/>
        <v>0.12500000000000006</v>
      </c>
      <c r="I16" t="str">
        <f>IFERROR(IF(INDEX('Attandance Tracker'!$D$3:$AH$50,MATCH($A16,'Attandance Tracker'!$A$3:$A$50,0),DAY($D16))="P","Present",IF(INDEX('Attandance Tracker'!$D$3:$AH$50,MATCH($A16,'Attandance Tracker'!$A$3:$A$50,0),DAY($D16))="A","Absent","Leave")),"")</f>
        <v>Present</v>
      </c>
      <c r="O16" s="19" t="str">
        <f t="shared" si="2"/>
        <v/>
      </c>
      <c r="P16" s="19" t="str">
        <f t="shared" si="3"/>
        <v/>
      </c>
      <c r="Q16" s="19" t="str">
        <f t="shared" si="4"/>
        <v/>
      </c>
      <c r="R16" s="19" t="str">
        <f t="shared" si="5"/>
        <v/>
      </c>
      <c r="S16" t="str">
        <f t="shared" si="6"/>
        <v/>
      </c>
    </row>
    <row r="17" spans="1:19" x14ac:dyDescent="0.25">
      <c r="A17">
        <v>1001</v>
      </c>
      <c r="B17" t="str">
        <f>_xlfn.IFNA(INDEX('Attandance Tracker'!$B$3:$B$30,MATCH($A17,'Attandance Tracker'!$A$3:$A$30,0)),"")</f>
        <v xml:space="preserve"> Amit</v>
      </c>
      <c r="C17" s="14" t="str">
        <f>_xlfn.IFNA(INDEX('Attandance Tracker'!$C$3:$C$30,MATCH($A17,'Attandance Tracker'!$A$3:$A$30,0)),"")</f>
        <v>Management</v>
      </c>
      <c r="D17" s="12">
        <v>14</v>
      </c>
      <c r="E17" s="7">
        <v>0.375</v>
      </c>
      <c r="F17" s="7">
        <v>0.83333333333333337</v>
      </c>
      <c r="G17" s="7">
        <f t="shared" si="0"/>
        <v>0.33333333333333331</v>
      </c>
      <c r="H17" s="7">
        <f t="shared" si="1"/>
        <v>0.12500000000000006</v>
      </c>
      <c r="I17" t="str">
        <f>IFERROR(IF(INDEX('Attandance Tracker'!$D$3:$AH$50,MATCH($A17,'Attandance Tracker'!$A$3:$A$50,0),DAY($D17))="P","Present",IF(INDEX('Attandance Tracker'!$D$3:$AH$50,MATCH($A17,'Attandance Tracker'!$A$3:$A$50,0),DAY($D17))="A","Absent","Leave")),"")</f>
        <v>Present</v>
      </c>
      <c r="O17" s="19" t="str">
        <f t="shared" si="2"/>
        <v/>
      </c>
      <c r="P17" s="19" t="str">
        <f t="shared" si="3"/>
        <v/>
      </c>
      <c r="Q17" s="19" t="str">
        <f t="shared" si="4"/>
        <v/>
      </c>
      <c r="R17" s="19" t="str">
        <f t="shared" si="5"/>
        <v/>
      </c>
      <c r="S17" t="str">
        <f t="shared" si="6"/>
        <v/>
      </c>
    </row>
    <row r="18" spans="1:19" x14ac:dyDescent="0.25">
      <c r="A18">
        <v>1001</v>
      </c>
      <c r="B18" t="str">
        <f>_xlfn.IFNA(INDEX('Attandance Tracker'!$B$3:$B$30,MATCH($A18,'Attandance Tracker'!$A$3:$A$30,0)),"")</f>
        <v xml:space="preserve"> Amit</v>
      </c>
      <c r="C18" s="14" t="str">
        <f>_xlfn.IFNA(INDEX('Attandance Tracker'!$C$3:$C$30,MATCH($A18,'Attandance Tracker'!$A$3:$A$30,0)),"")</f>
        <v>Management</v>
      </c>
      <c r="D18" s="12">
        <v>15</v>
      </c>
      <c r="E18" s="7">
        <v>0.33333333333333331</v>
      </c>
      <c r="F18" s="7">
        <v>0.83333333333333337</v>
      </c>
      <c r="G18" s="7">
        <f t="shared" si="0"/>
        <v>0.33333333333333331</v>
      </c>
      <c r="H18" s="7">
        <f t="shared" si="1"/>
        <v>0.16666666666666669</v>
      </c>
      <c r="I18" t="str">
        <f>IFERROR(IF(INDEX('Attandance Tracker'!$D$3:$AH$50,MATCH($A18,'Attandance Tracker'!$A$3:$A$50,0),DAY($D18))="P","Present",IF(INDEX('Attandance Tracker'!$D$3:$AH$50,MATCH($A18,'Attandance Tracker'!$A$3:$A$50,0),DAY($D18))="A","Absent","Leave")),"")</f>
        <v>Present</v>
      </c>
      <c r="O18" s="19" t="str">
        <f t="shared" si="2"/>
        <v/>
      </c>
      <c r="P18" s="19" t="str">
        <f t="shared" si="3"/>
        <v/>
      </c>
      <c r="Q18" s="19" t="str">
        <f t="shared" si="4"/>
        <v/>
      </c>
      <c r="R18" s="19" t="str">
        <f t="shared" si="5"/>
        <v/>
      </c>
      <c r="S18" t="str">
        <f t="shared" si="6"/>
        <v/>
      </c>
    </row>
    <row r="19" spans="1:19" x14ac:dyDescent="0.25">
      <c r="A19">
        <v>1001</v>
      </c>
      <c r="B19" t="str">
        <f>_xlfn.IFNA(INDEX('Attandance Tracker'!$B$3:$B$30,MATCH($A19,'Attandance Tracker'!$A$3:$A$30,0)),"")</f>
        <v xml:space="preserve"> Amit</v>
      </c>
      <c r="C19" s="14" t="str">
        <f>_xlfn.IFNA(INDEX('Attandance Tracker'!$C$3:$C$30,MATCH($A19,'Attandance Tracker'!$A$3:$A$30,0)),"")</f>
        <v>Management</v>
      </c>
      <c r="D19" s="12">
        <v>16</v>
      </c>
      <c r="E19" s="7">
        <v>0.33333333333333331</v>
      </c>
      <c r="F19" s="7">
        <v>0.79166666666666663</v>
      </c>
      <c r="G19" s="7">
        <f t="shared" si="0"/>
        <v>0.33333333333333331</v>
      </c>
      <c r="H19" s="7">
        <f t="shared" si="1"/>
        <v>0.125</v>
      </c>
      <c r="I19" t="str">
        <f>IFERROR(IF(INDEX('Attandance Tracker'!$D$3:$AH$50,MATCH($A19,'Attandance Tracker'!$A$3:$A$50,0),DAY($D19))="P","Present",IF(INDEX('Attandance Tracker'!$D$3:$AH$50,MATCH($A19,'Attandance Tracker'!$A$3:$A$50,0),DAY($D19))="A","Absent","Leave")),"")</f>
        <v>Present</v>
      </c>
      <c r="O19" s="19" t="str">
        <f t="shared" si="2"/>
        <v/>
      </c>
      <c r="P19" s="19" t="str">
        <f t="shared" si="3"/>
        <v/>
      </c>
      <c r="Q19" s="19" t="str">
        <f t="shared" si="4"/>
        <v/>
      </c>
      <c r="R19" s="19" t="str">
        <f t="shared" si="5"/>
        <v/>
      </c>
      <c r="S19" t="str">
        <f t="shared" si="6"/>
        <v/>
      </c>
    </row>
    <row r="20" spans="1:19" x14ac:dyDescent="0.25">
      <c r="A20">
        <v>1001</v>
      </c>
      <c r="B20" t="str">
        <f>_xlfn.IFNA(INDEX('Attandance Tracker'!$B$3:$B$30,MATCH($A20,'Attandance Tracker'!$A$3:$A$30,0)),"")</f>
        <v xml:space="preserve"> Amit</v>
      </c>
      <c r="C20" s="14" t="str">
        <f>_xlfn.IFNA(INDEX('Attandance Tracker'!$C$3:$C$30,MATCH($A20,'Attandance Tracker'!$A$3:$A$30,0)),"")</f>
        <v>Management</v>
      </c>
      <c r="D20" s="12">
        <v>17</v>
      </c>
      <c r="E20" s="7">
        <v>0.33333333333333331</v>
      </c>
      <c r="F20" s="7">
        <v>0.75</v>
      </c>
      <c r="G20" s="7">
        <f t="shared" si="0"/>
        <v>0.33333333333333331</v>
      </c>
      <c r="H20" s="7">
        <f t="shared" si="1"/>
        <v>8.333333333333337E-2</v>
      </c>
      <c r="I20" t="str">
        <f>IFERROR(IF(INDEX('Attandance Tracker'!$D$3:$AH$50,MATCH($A20,'Attandance Tracker'!$A$3:$A$50,0),DAY($D20))="P","Present",IF(INDEX('Attandance Tracker'!$D$3:$AH$50,MATCH($A20,'Attandance Tracker'!$A$3:$A$50,0),DAY($D20))="A","Absent","Leave")),"")</f>
        <v>Present</v>
      </c>
      <c r="O20" s="19" t="str">
        <f t="shared" si="2"/>
        <v/>
      </c>
      <c r="P20" s="19" t="str">
        <f t="shared" si="3"/>
        <v/>
      </c>
      <c r="Q20" s="19" t="str">
        <f t="shared" si="4"/>
        <v/>
      </c>
      <c r="R20" s="19" t="str">
        <f t="shared" si="5"/>
        <v/>
      </c>
      <c r="S20" t="str">
        <f t="shared" si="6"/>
        <v/>
      </c>
    </row>
    <row r="21" spans="1:19" x14ac:dyDescent="0.25">
      <c r="A21">
        <v>1001</v>
      </c>
      <c r="B21" t="str">
        <f>_xlfn.IFNA(INDEX('Attandance Tracker'!$B$3:$B$30,MATCH($A21,'Attandance Tracker'!$A$3:$A$30,0)),"")</f>
        <v xml:space="preserve"> Amit</v>
      </c>
      <c r="C21" s="14" t="str">
        <f>_xlfn.IFNA(INDEX('Attandance Tracker'!$C$3:$C$30,MATCH($A21,'Attandance Tracker'!$A$3:$A$30,0)),"")</f>
        <v>Management</v>
      </c>
      <c r="D21" s="12">
        <v>18</v>
      </c>
      <c r="E21" s="7">
        <v>0.33333333333333331</v>
      </c>
      <c r="F21" s="7">
        <v>0.75</v>
      </c>
      <c r="G21" s="7">
        <f t="shared" si="0"/>
        <v>0</v>
      </c>
      <c r="H21" s="7">
        <f t="shared" si="1"/>
        <v>0</v>
      </c>
      <c r="I21" t="str">
        <f>IFERROR(IF(INDEX('Attandance Tracker'!$D$3:$AH$50,MATCH($A21,'Attandance Tracker'!$A$3:$A$50,0),DAY($D21))="P","Present",IF(INDEX('Attandance Tracker'!$D$3:$AH$50,MATCH($A21,'Attandance Tracker'!$A$3:$A$50,0),DAY($D21))="A","Absent","Leave")),"")</f>
        <v>Leave</v>
      </c>
      <c r="O21" s="19" t="str">
        <f t="shared" si="2"/>
        <v/>
      </c>
      <c r="P21" s="19" t="str">
        <f t="shared" si="3"/>
        <v/>
      </c>
      <c r="Q21" s="19" t="str">
        <f t="shared" si="4"/>
        <v/>
      </c>
      <c r="R21" s="19" t="str">
        <f t="shared" si="5"/>
        <v/>
      </c>
      <c r="S21" t="str">
        <f t="shared" si="6"/>
        <v/>
      </c>
    </row>
    <row r="22" spans="1:19" x14ac:dyDescent="0.25">
      <c r="A22">
        <v>1001</v>
      </c>
      <c r="B22" t="str">
        <f>_xlfn.IFNA(INDEX('Attandance Tracker'!$B$3:$B$30,MATCH($A22,'Attandance Tracker'!$A$3:$A$30,0)),"")</f>
        <v xml:space="preserve"> Amit</v>
      </c>
      <c r="C22" s="14" t="str">
        <f>_xlfn.IFNA(INDEX('Attandance Tracker'!$C$3:$C$30,MATCH($A22,'Attandance Tracker'!$A$3:$A$30,0)),"")</f>
        <v>Management</v>
      </c>
      <c r="D22" s="12">
        <v>19</v>
      </c>
      <c r="E22" s="7">
        <v>0.33333333333333331</v>
      </c>
      <c r="F22" s="7">
        <v>0.75</v>
      </c>
      <c r="G22" s="7">
        <f t="shared" si="0"/>
        <v>0.33333333333333331</v>
      </c>
      <c r="H22" s="7">
        <f t="shared" si="1"/>
        <v>0</v>
      </c>
      <c r="I22" t="str">
        <f>IFERROR(IF(INDEX('Attandance Tracker'!$D$3:$AH$50,MATCH($A22,'Attandance Tracker'!$A$3:$A$50,0),DAY($D22))="P","Present",IF(INDEX('Attandance Tracker'!$D$3:$AH$50,MATCH($A22,'Attandance Tracker'!$A$3:$A$50,0),DAY($D22))="A","Absent","Leave")),"")</f>
        <v>Absent</v>
      </c>
      <c r="O22" s="19" t="str">
        <f t="shared" si="2"/>
        <v/>
      </c>
      <c r="P22" s="19" t="str">
        <f t="shared" si="3"/>
        <v/>
      </c>
      <c r="Q22" s="19" t="str">
        <f t="shared" si="4"/>
        <v/>
      </c>
      <c r="R22" s="19" t="str">
        <f t="shared" si="5"/>
        <v/>
      </c>
      <c r="S22" t="str">
        <f t="shared" si="6"/>
        <v/>
      </c>
    </row>
    <row r="23" spans="1:19" x14ac:dyDescent="0.25">
      <c r="A23">
        <v>1001</v>
      </c>
      <c r="B23" t="str">
        <f>_xlfn.IFNA(INDEX('Attandance Tracker'!$B$3:$B$30,MATCH($A23,'Attandance Tracker'!$A$3:$A$30,0)),"")</f>
        <v xml:space="preserve"> Amit</v>
      </c>
      <c r="C23" s="14" t="str">
        <f>_xlfn.IFNA(INDEX('Attandance Tracker'!$C$3:$C$30,MATCH($A23,'Attandance Tracker'!$A$3:$A$30,0)),"")</f>
        <v>Management</v>
      </c>
      <c r="D23" s="12">
        <v>20</v>
      </c>
      <c r="E23" s="7">
        <v>0.33333333333333331</v>
      </c>
      <c r="F23" s="7">
        <v>0.75</v>
      </c>
      <c r="G23" s="7">
        <f t="shared" si="0"/>
        <v>0.33333333333333331</v>
      </c>
      <c r="H23" s="7">
        <f t="shared" si="1"/>
        <v>8.333333333333337E-2</v>
      </c>
      <c r="I23" t="str">
        <f>IFERROR(IF(INDEX('Attandance Tracker'!$D$3:$AH$50,MATCH($A23,'Attandance Tracker'!$A$3:$A$50,0),DAY($D23))="P","Present",IF(INDEX('Attandance Tracker'!$D$3:$AH$50,MATCH($A23,'Attandance Tracker'!$A$3:$A$50,0),DAY($D23))="A","Absent","Leave")),"")</f>
        <v>Present</v>
      </c>
      <c r="K23" t="str">
        <f t="shared" ref="K23:K29" si="7">IFERROR(INDEX($A$4:$A$1000,SMALL(IF($A$4:$A$1000=$O$2,ROW($A$4:$A$1000)-3),ROW(A20))),"")</f>
        <v/>
      </c>
      <c r="L23" t="str">
        <f t="shared" ref="L23:L29" si="8">IFERROR(INDEX($B$4:$B$1000,SMALL(IF($A$4:$A$1000=$O$2,ROW($A$4:$A$1000)-3),ROW(A20))),"")</f>
        <v/>
      </c>
      <c r="M23" t="str">
        <f t="shared" ref="M23:M29" si="9">IFERROR(INDEX($C$4:$C$1000,SMALL(IF($A$4:$A$1000=$O$2,ROW($A$4:$A$1000)-3),ROW(A20))),"")</f>
        <v/>
      </c>
      <c r="N23" t="str">
        <f t="shared" ref="N23:N29" si="10">IFERROR(INDEX($D$4:$D$1000,SMALL(IF($A$4:$A$1000=$O$2,ROW($A$4:$A$1000)-3),ROW(A20))),"")</f>
        <v/>
      </c>
      <c r="O23" s="19" t="str">
        <f t="shared" si="2"/>
        <v/>
      </c>
      <c r="P23" s="19" t="str">
        <f t="shared" si="3"/>
        <v/>
      </c>
      <c r="Q23" s="19" t="str">
        <f t="shared" si="4"/>
        <v/>
      </c>
      <c r="R23" s="19" t="str">
        <f t="shared" si="5"/>
        <v/>
      </c>
      <c r="S23" t="str">
        <f t="shared" si="6"/>
        <v/>
      </c>
    </row>
    <row r="24" spans="1:19" x14ac:dyDescent="0.25">
      <c r="A24">
        <v>1001</v>
      </c>
      <c r="B24" t="str">
        <f>_xlfn.IFNA(INDEX('Attandance Tracker'!$B$3:$B$30,MATCH($A23,'Attandance Tracker'!$A$3:$A$30,0)),"")</f>
        <v xml:space="preserve"> Amit</v>
      </c>
      <c r="C24" s="14" t="str">
        <f>_xlfn.IFNA(INDEX('Attandance Tracker'!$C$3:$C$30,MATCH($A24,'Attandance Tracker'!$A$3:$A$30,0)),"")</f>
        <v>Management</v>
      </c>
      <c r="D24" s="12">
        <v>21</v>
      </c>
      <c r="E24" s="7">
        <v>0.33333333333333331</v>
      </c>
      <c r="F24" s="7">
        <v>0.75</v>
      </c>
      <c r="G24" s="7">
        <f t="shared" si="0"/>
        <v>0.33333333333333331</v>
      </c>
      <c r="H24" s="7">
        <f t="shared" si="1"/>
        <v>8.333333333333337E-2</v>
      </c>
      <c r="I24" t="str">
        <f>IFERROR(IF(INDEX('Attandance Tracker'!$D$3:$AH$50,MATCH($A24,'Attandance Tracker'!$A$3:$A$50,0),DAY($D24))="P","Present",IF(INDEX('Attandance Tracker'!$D$3:$AH$50,MATCH($A24,'Attandance Tracker'!$A$3:$A$50,0),DAY($D24))="A","Absent","Leave")),"")</f>
        <v>Present</v>
      </c>
      <c r="K24" t="str">
        <f t="shared" si="7"/>
        <v/>
      </c>
      <c r="L24" t="str">
        <f t="shared" si="8"/>
        <v/>
      </c>
      <c r="M24" t="str">
        <f t="shared" si="9"/>
        <v/>
      </c>
      <c r="N24" t="str">
        <f t="shared" si="10"/>
        <v/>
      </c>
      <c r="O24" s="19" t="str">
        <f t="shared" si="2"/>
        <v/>
      </c>
      <c r="P24" s="19" t="str">
        <f t="shared" si="3"/>
        <v/>
      </c>
      <c r="Q24" s="19" t="str">
        <f t="shared" si="4"/>
        <v/>
      </c>
      <c r="R24" s="19" t="str">
        <f t="shared" si="5"/>
        <v/>
      </c>
      <c r="S24" t="str">
        <f t="shared" si="6"/>
        <v/>
      </c>
    </row>
    <row r="25" spans="1:19" x14ac:dyDescent="0.25">
      <c r="A25">
        <v>1001</v>
      </c>
      <c r="B25" t="str">
        <f>_xlfn.IFNA(INDEX('Attandance Tracker'!$B$3:$B$30,MATCH($A23,'Attandance Tracker'!$A$3:$A$30,0)),"")</f>
        <v xml:space="preserve"> Amit</v>
      </c>
      <c r="C25" s="14" t="str">
        <f>_xlfn.IFNA(INDEX('Attandance Tracker'!$C$3:$C$30,MATCH($A25,'Attandance Tracker'!$A$3:$A$30,0)),"")</f>
        <v>Management</v>
      </c>
      <c r="D25" s="12">
        <v>22</v>
      </c>
      <c r="E25" s="7">
        <v>0.375</v>
      </c>
      <c r="F25" s="7">
        <v>0.75</v>
      </c>
      <c r="G25" s="7">
        <f t="shared" si="0"/>
        <v>0.33333333333333331</v>
      </c>
      <c r="H25" s="7">
        <f t="shared" si="1"/>
        <v>4.1666666666666685E-2</v>
      </c>
      <c r="I25" t="str">
        <f>IFERROR(IF(INDEX('Attandance Tracker'!$D$3:$AH$50,MATCH($A25,'Attandance Tracker'!$A$3:$A$50,0),DAY($D25))="P","Present",IF(INDEX('Attandance Tracker'!$D$3:$AH$50,MATCH($A25,'Attandance Tracker'!$A$3:$A$50,0),DAY($D25))="A","Absent","Leave")),"")</f>
        <v>Present</v>
      </c>
      <c r="K25" t="str">
        <f t="shared" si="7"/>
        <v/>
      </c>
      <c r="L25" t="str">
        <f t="shared" si="8"/>
        <v/>
      </c>
      <c r="M25" t="str">
        <f t="shared" si="9"/>
        <v/>
      </c>
      <c r="N25" t="str">
        <f t="shared" si="10"/>
        <v/>
      </c>
      <c r="O25" s="19" t="str">
        <f t="shared" si="2"/>
        <v/>
      </c>
      <c r="P25" s="19" t="str">
        <f t="shared" si="3"/>
        <v/>
      </c>
      <c r="Q25" s="19" t="str">
        <f t="shared" si="4"/>
        <v/>
      </c>
      <c r="R25" s="19" t="str">
        <f t="shared" si="5"/>
        <v/>
      </c>
      <c r="S25" t="str">
        <f t="shared" si="6"/>
        <v/>
      </c>
    </row>
    <row r="26" spans="1:19" x14ac:dyDescent="0.25">
      <c r="A26">
        <v>1001</v>
      </c>
      <c r="B26" t="str">
        <f>_xlfn.IFNA(INDEX('Attandance Tracker'!$B$3:$B$30,MATCH($A24,'Attandance Tracker'!$A$3:$A$30,0)),"")</f>
        <v xml:space="preserve"> Amit</v>
      </c>
      <c r="C26" s="14" t="str">
        <f>_xlfn.IFNA(INDEX('Attandance Tracker'!$C$3:$C$30,MATCH($A26,'Attandance Tracker'!$A$3:$A$30,0)),"")</f>
        <v>Management</v>
      </c>
      <c r="D26" s="12">
        <v>23</v>
      </c>
      <c r="E26" s="7">
        <v>0.375</v>
      </c>
      <c r="F26" s="7">
        <v>0.83333333333333337</v>
      </c>
      <c r="G26" s="7">
        <f t="shared" si="0"/>
        <v>0.33333333333333331</v>
      </c>
      <c r="H26" s="7">
        <f t="shared" si="1"/>
        <v>0.12500000000000006</v>
      </c>
      <c r="I26" t="str">
        <f>IFERROR(IF(INDEX('Attandance Tracker'!$D$3:$AH$50,MATCH($A26,'Attandance Tracker'!$A$3:$A$50,0),DAY($D26))="P","Present",IF(INDEX('Attandance Tracker'!$D$3:$AH$50,MATCH($A26,'Attandance Tracker'!$A$3:$A$50,0),DAY($D26))="A","Absent","Leave")),"")</f>
        <v>Present</v>
      </c>
      <c r="K26" t="str">
        <f t="shared" si="7"/>
        <v/>
      </c>
      <c r="L26" t="str">
        <f t="shared" si="8"/>
        <v/>
      </c>
      <c r="M26" t="str">
        <f t="shared" si="9"/>
        <v/>
      </c>
      <c r="N26" t="str">
        <f t="shared" si="10"/>
        <v/>
      </c>
      <c r="O26" s="19" t="str">
        <f t="shared" si="2"/>
        <v/>
      </c>
      <c r="P26" s="19" t="str">
        <f t="shared" si="3"/>
        <v/>
      </c>
      <c r="Q26" s="19" t="str">
        <f t="shared" si="4"/>
        <v/>
      </c>
      <c r="R26" s="19" t="str">
        <f t="shared" si="5"/>
        <v/>
      </c>
      <c r="S26" t="str">
        <f t="shared" si="6"/>
        <v/>
      </c>
    </row>
    <row r="27" spans="1:19" x14ac:dyDescent="0.25">
      <c r="A27">
        <v>1001</v>
      </c>
      <c r="B27" t="str">
        <f>_xlfn.IFNA(INDEX('Attandance Tracker'!$B$3:$B$30,MATCH($A25,'Attandance Tracker'!$A$3:$A$30,0)),"")</f>
        <v xml:space="preserve"> Amit</v>
      </c>
      <c r="C27" s="14" t="str">
        <f>_xlfn.IFNA(INDEX('Attandance Tracker'!$C$3:$C$30,MATCH($A27,'Attandance Tracker'!$A$3:$A$30,0)),"")</f>
        <v>Management</v>
      </c>
      <c r="D27" s="12">
        <v>24</v>
      </c>
      <c r="E27" s="7">
        <v>0.375</v>
      </c>
      <c r="F27" s="7">
        <v>0.83333333333333337</v>
      </c>
      <c r="G27" s="7">
        <f t="shared" si="0"/>
        <v>0.33333333333333331</v>
      </c>
      <c r="H27" s="7">
        <f t="shared" si="1"/>
        <v>0</v>
      </c>
      <c r="I27" t="str">
        <f>IFERROR(IF(INDEX('Attandance Tracker'!$D$3:$AH$50,MATCH($A27,'Attandance Tracker'!$A$3:$A$50,0),DAY($D27))="P","Present",IF(INDEX('Attandance Tracker'!$D$3:$AH$50,MATCH($A27,'Attandance Tracker'!$A$3:$A$50,0),DAY($D27))="A","Absent","Leave")),"")</f>
        <v>Absent</v>
      </c>
      <c r="K27" t="str">
        <f t="shared" si="7"/>
        <v/>
      </c>
      <c r="L27" t="str">
        <f t="shared" si="8"/>
        <v/>
      </c>
      <c r="M27" t="str">
        <f t="shared" si="9"/>
        <v/>
      </c>
      <c r="N27" t="str">
        <f t="shared" si="10"/>
        <v/>
      </c>
      <c r="O27" s="19" t="str">
        <f t="shared" si="2"/>
        <v/>
      </c>
      <c r="P27" s="19" t="str">
        <f t="shared" si="3"/>
        <v/>
      </c>
      <c r="Q27" s="19" t="str">
        <f t="shared" si="4"/>
        <v/>
      </c>
      <c r="R27" s="19" t="str">
        <f t="shared" si="5"/>
        <v/>
      </c>
      <c r="S27" t="str">
        <f t="shared" si="6"/>
        <v/>
      </c>
    </row>
    <row r="28" spans="1:19" x14ac:dyDescent="0.25">
      <c r="A28">
        <v>1001</v>
      </c>
      <c r="B28" t="str">
        <f>_xlfn.IFNA(INDEX('Attandance Tracker'!$B$3:$B$30,MATCH($A26,'Attandance Tracker'!$A$3:$A$30,0)),"")</f>
        <v xml:space="preserve"> Amit</v>
      </c>
      <c r="C28" s="14" t="str">
        <f>_xlfn.IFNA(INDEX('Attandance Tracker'!$C$3:$C$30,MATCH($A28,'Attandance Tracker'!$A$3:$A$30,0)),"")</f>
        <v>Management</v>
      </c>
      <c r="D28" s="12">
        <v>25</v>
      </c>
      <c r="E28" s="7">
        <v>0.33333333333333331</v>
      </c>
      <c r="F28" s="7">
        <v>0.83333333333333337</v>
      </c>
      <c r="G28" s="7">
        <f t="shared" si="0"/>
        <v>0.33333333333333331</v>
      </c>
      <c r="H28" s="7">
        <f t="shared" si="1"/>
        <v>0</v>
      </c>
      <c r="I28" t="str">
        <f>IFERROR(IF(INDEX('Attandance Tracker'!$D$3:$AH$50,MATCH($A28,'Attandance Tracker'!$A$3:$A$50,0),DAY($D28))="P","Present",IF(INDEX('Attandance Tracker'!$D$3:$AH$50,MATCH($A28,'Attandance Tracker'!$A$3:$A$50,0),DAY($D28))="A","Absent","Leave")),"")</f>
        <v>Absent</v>
      </c>
      <c r="K28" t="str">
        <f t="shared" si="7"/>
        <v/>
      </c>
      <c r="L28" t="str">
        <f t="shared" si="8"/>
        <v/>
      </c>
      <c r="M28" t="str">
        <f t="shared" si="9"/>
        <v/>
      </c>
      <c r="N28" t="str">
        <f t="shared" si="10"/>
        <v/>
      </c>
      <c r="O28" s="19" t="str">
        <f t="shared" si="2"/>
        <v/>
      </c>
      <c r="P28" s="19" t="str">
        <f t="shared" si="3"/>
        <v/>
      </c>
      <c r="Q28" s="19" t="str">
        <f t="shared" si="4"/>
        <v/>
      </c>
      <c r="R28" s="19" t="str">
        <f t="shared" si="5"/>
        <v/>
      </c>
      <c r="S28" t="str">
        <f t="shared" si="6"/>
        <v/>
      </c>
    </row>
    <row r="29" spans="1:19" x14ac:dyDescent="0.25">
      <c r="A29">
        <v>1001</v>
      </c>
      <c r="B29" t="str">
        <f>_xlfn.IFNA(INDEX('Attandance Tracker'!$B$3:$B$30,MATCH($A27,'Attandance Tracker'!$A$3:$A$30,0)),"")</f>
        <v xml:space="preserve"> Amit</v>
      </c>
      <c r="C29" s="14" t="str">
        <f>_xlfn.IFNA(INDEX('Attandance Tracker'!$C$3:$C$30,MATCH($A29,'Attandance Tracker'!$A$3:$A$30,0)),"")</f>
        <v>Management</v>
      </c>
      <c r="D29" s="12">
        <v>26</v>
      </c>
      <c r="E29" s="7">
        <v>0.33333333333333331</v>
      </c>
      <c r="F29" s="7">
        <v>0.79166666666666663</v>
      </c>
      <c r="G29" s="7">
        <f t="shared" si="0"/>
        <v>0</v>
      </c>
      <c r="H29" s="7">
        <f t="shared" si="1"/>
        <v>0</v>
      </c>
      <c r="I29" t="str">
        <f>IFERROR(IF(INDEX('Attandance Tracker'!$D$3:$AH$50,MATCH($A29,'Attandance Tracker'!$A$3:$A$50,0),DAY($D29))="P","Present",IF(INDEX('Attandance Tracker'!$D$3:$AH$50,MATCH($A29,'Attandance Tracker'!$A$3:$A$50,0),DAY($D29))="A","Absent","Leave")),"")</f>
        <v>Leave</v>
      </c>
      <c r="K29" t="str">
        <f t="shared" si="7"/>
        <v/>
      </c>
      <c r="L29" t="str">
        <f t="shared" si="8"/>
        <v/>
      </c>
      <c r="M29" t="str">
        <f t="shared" si="9"/>
        <v/>
      </c>
      <c r="N29" t="str">
        <f t="shared" si="10"/>
        <v/>
      </c>
      <c r="O29" s="19" t="str">
        <f t="shared" si="2"/>
        <v/>
      </c>
      <c r="P29" s="19" t="str">
        <f t="shared" si="3"/>
        <v/>
      </c>
      <c r="Q29" s="19" t="str">
        <f t="shared" si="4"/>
        <v/>
      </c>
      <c r="R29" s="19" t="str">
        <f t="shared" si="5"/>
        <v/>
      </c>
      <c r="S29" t="str">
        <f t="shared" si="6"/>
        <v/>
      </c>
    </row>
    <row r="30" spans="1:19" x14ac:dyDescent="0.25">
      <c r="A30">
        <v>1001</v>
      </c>
      <c r="B30" t="str">
        <f>_xlfn.IFNA(INDEX('Attandance Tracker'!$B$3:$B$30,MATCH($A28,'Attandance Tracker'!$A$3:$A$30,0)),"")</f>
        <v xml:space="preserve"> Amit</v>
      </c>
      <c r="C30" s="14" t="str">
        <f>_xlfn.IFNA(INDEX('Attandance Tracker'!$C$3:$C$30,MATCH($A30,'Attandance Tracker'!$A$3:$A$30,0)),"")</f>
        <v>Management</v>
      </c>
      <c r="D30" s="12">
        <v>27</v>
      </c>
      <c r="E30" s="7">
        <v>0.33333333333333331</v>
      </c>
      <c r="F30" s="7">
        <v>0.75</v>
      </c>
      <c r="G30" s="7">
        <f t="shared" si="0"/>
        <v>0.33333333333333331</v>
      </c>
      <c r="H30" s="7">
        <f t="shared" si="1"/>
        <v>8.333333333333337E-2</v>
      </c>
      <c r="I30" t="str">
        <f>IFERROR(IF(INDEX('Attandance Tracker'!$D$3:$AH$50,MATCH($A30,'Attandance Tracker'!$A$3:$A$50,0),DAY($D30))="P","Present",IF(INDEX('Attandance Tracker'!$D$3:$AH$50,MATCH($A30,'Attandance Tracker'!$A$3:$A$50,0),DAY($D30))="A","Absent","Leave")),"")</f>
        <v>Present</v>
      </c>
    </row>
    <row r="31" spans="1:19" x14ac:dyDescent="0.25">
      <c r="A31">
        <v>1001</v>
      </c>
      <c r="B31" t="str">
        <f>_xlfn.IFNA(INDEX('Attandance Tracker'!$B$3:$B$30,MATCH($A29,'Attandance Tracker'!$A$3:$A$30,0)),"")</f>
        <v xml:space="preserve"> Amit</v>
      </c>
      <c r="C31" s="14" t="str">
        <f>_xlfn.IFNA(INDEX('Attandance Tracker'!$C$3:$C$30,MATCH($A31,'Attandance Tracker'!$A$3:$A$30,0)),"")</f>
        <v>Management</v>
      </c>
      <c r="D31" s="12">
        <v>28</v>
      </c>
      <c r="E31" s="7">
        <v>0.33333333333333331</v>
      </c>
      <c r="F31" s="7">
        <v>0.75</v>
      </c>
      <c r="G31" s="7">
        <f t="shared" si="0"/>
        <v>0.33333333333333331</v>
      </c>
      <c r="H31" s="7">
        <f t="shared" si="1"/>
        <v>8.333333333333337E-2</v>
      </c>
      <c r="I31" t="str">
        <f>IFERROR(IF(INDEX('Attandance Tracker'!$D$3:$AH$50,MATCH($A31,'Attandance Tracker'!$A$3:$A$50,0),DAY($D31))="P","Present",IF(INDEX('Attandance Tracker'!$D$3:$AH$50,MATCH($A31,'Attandance Tracker'!$A$3:$A$50,0),DAY($D31))="A","Absent","Leave")),"")</f>
        <v>Present</v>
      </c>
    </row>
    <row r="32" spans="1:19" x14ac:dyDescent="0.25">
      <c r="A32">
        <v>1001</v>
      </c>
      <c r="B32" t="str">
        <f>_xlfn.IFNA(INDEX('Attandance Tracker'!$B$3:$B$30,MATCH($A30,'Attandance Tracker'!$A$3:$A$30,0)),"")</f>
        <v xml:space="preserve"> Amit</v>
      </c>
      <c r="C32" s="14" t="str">
        <f>_xlfn.IFNA(INDEX('Attandance Tracker'!$C$3:$C$30,MATCH($A32,'Attandance Tracker'!$A$3:$A$30,0)),"")</f>
        <v>Management</v>
      </c>
      <c r="D32" s="12">
        <v>29</v>
      </c>
      <c r="E32" s="7">
        <v>0.33333333333333331</v>
      </c>
      <c r="F32" s="7">
        <v>0.75</v>
      </c>
      <c r="G32" s="7">
        <f t="shared" si="0"/>
        <v>0.33333333333333331</v>
      </c>
      <c r="H32" s="7">
        <f t="shared" si="1"/>
        <v>8.333333333333337E-2</v>
      </c>
      <c r="I32" t="str">
        <f>IFERROR(IF(INDEX('Attandance Tracker'!$D$3:$AH$50,MATCH($A32,'Attandance Tracker'!$A$3:$A$50,0),DAY($D32))="P","Present",IF(INDEX('Attandance Tracker'!$D$3:$AH$50,MATCH($A32,'Attandance Tracker'!$A$3:$A$50,0),DAY($D32))="A","Absent","Leave")),"")</f>
        <v>Present</v>
      </c>
    </row>
    <row r="33" spans="1:9" x14ac:dyDescent="0.25">
      <c r="A33">
        <v>1001</v>
      </c>
      <c r="B33" t="str">
        <f>_xlfn.IFNA(INDEX('Attandance Tracker'!$B$3:$B$30,MATCH($A31,'Attandance Tracker'!$A$3:$A$30,0)),"")</f>
        <v xml:space="preserve"> Amit</v>
      </c>
      <c r="C33" s="14" t="str">
        <f>_xlfn.IFNA(INDEX('Attandance Tracker'!$C$3:$C$30,MATCH($A33,'Attandance Tracker'!$A$3:$A$30,0)),"")</f>
        <v>Management</v>
      </c>
      <c r="D33" s="12">
        <v>30</v>
      </c>
      <c r="E33" s="7">
        <v>0.33333333333333331</v>
      </c>
      <c r="F33" s="7">
        <v>0.75</v>
      </c>
      <c r="G33" s="7">
        <f t="shared" si="0"/>
        <v>0</v>
      </c>
      <c r="H33" s="7">
        <f t="shared" si="1"/>
        <v>0</v>
      </c>
      <c r="I33" t="str">
        <f>IFERROR(IF(INDEX('Attandance Tracker'!$D$3:$AH$50,MATCH($A33,'Attandance Tracker'!$A$3:$A$50,0),DAY($D33))="P","Present",IF(INDEX('Attandance Tracker'!$D$3:$AH$50,MATCH($A33,'Attandance Tracker'!$A$3:$A$50,0),DAY($D33))="A","Absent","Leave")),"")</f>
        <v>Leave</v>
      </c>
    </row>
    <row r="34" spans="1:9" x14ac:dyDescent="0.25">
      <c r="A34">
        <v>1001</v>
      </c>
      <c r="B34" t="str">
        <f>_xlfn.IFNA(INDEX('Attandance Tracker'!$B$3:$B$30,MATCH($A34,'Attandance Tracker'!$A$3:$A$30,0)),"")</f>
        <v xml:space="preserve"> Amit</v>
      </c>
      <c r="C34" s="14" t="str">
        <f>_xlfn.IFNA(INDEX('Attandance Tracker'!$C$3:$C$30,MATCH($A34,'Attandance Tracker'!$A$3:$A$30,0)),"")</f>
        <v>Management</v>
      </c>
      <c r="D34" s="10">
        <v>31</v>
      </c>
      <c r="E34" s="7">
        <v>0</v>
      </c>
      <c r="F34" s="7">
        <v>0</v>
      </c>
      <c r="G34" s="7">
        <f t="shared" si="0"/>
        <v>0</v>
      </c>
      <c r="H34" s="7">
        <f t="shared" si="1"/>
        <v>0</v>
      </c>
      <c r="I34" t="str">
        <f>IFERROR(IF(INDEX('Attandance Tracker'!$D$3:$AH$50,MATCH($A34,'Attandance Tracker'!$A$3:$A$50,0),DAY($D34))="P","Present",IF(INDEX('Attandance Tracker'!$D$3:$AH$50,MATCH($A34,'Attandance Tracker'!$A$3:$A$50,0),DAY($D34))="A","Absent","Leave")),"")</f>
        <v>Leave</v>
      </c>
    </row>
    <row r="35" spans="1:9" x14ac:dyDescent="0.25">
      <c r="A35">
        <v>1002</v>
      </c>
      <c r="B35" t="str">
        <f>_xlfn.IFNA(INDEX('Attandance Tracker'!$B$3:$B$30,MATCH($A35,'Attandance Tracker'!$A$3:$A$30,0)),"")</f>
        <v xml:space="preserve"> Ravi</v>
      </c>
      <c r="C35" s="14" t="str">
        <f>_xlfn.IFNA(INDEX('Attandance Tracker'!$C$3:$C$30,MATCH($A35,'Attandance Tracker'!$A$3:$A$30,0)),"")</f>
        <v>Management</v>
      </c>
      <c r="D35" s="10">
        <v>1</v>
      </c>
      <c r="E35" s="7">
        <v>0.33333333333333331</v>
      </c>
      <c r="F35" s="7">
        <v>0.75</v>
      </c>
      <c r="G35" s="7">
        <f t="shared" si="0"/>
        <v>0.33333333333333331</v>
      </c>
      <c r="H35" s="7">
        <f t="shared" si="1"/>
        <v>8.333333333333337E-2</v>
      </c>
      <c r="I35" t="str">
        <f>IFERROR(IF(INDEX('Attandance Tracker'!$D$3:$AH$50,MATCH($A35,'Attandance Tracker'!$A$3:$A$50,0),DAY($D35))="P","Present",IF(INDEX('Attandance Tracker'!$D$3:$AH$50,MATCH($A35,'Attandance Tracker'!$A$3:$A$50,0),DAY($D35))="A","Absent","Leave")),"")</f>
        <v>Present</v>
      </c>
    </row>
    <row r="36" spans="1:9" x14ac:dyDescent="0.25">
      <c r="A36">
        <v>1002</v>
      </c>
      <c r="B36" t="str">
        <f>_xlfn.IFNA(INDEX('Attandance Tracker'!$B$3:$B$30,MATCH($A36,'Attandance Tracker'!$A$3:$A$30,0)),"")</f>
        <v xml:space="preserve"> Ravi</v>
      </c>
      <c r="C36" s="14" t="str">
        <f>_xlfn.IFNA(INDEX('Attandance Tracker'!$C$3:$C$30,MATCH($A36,'Attandance Tracker'!$A$3:$A$30,0)),"")</f>
        <v>Management</v>
      </c>
      <c r="D36" s="14">
        <v>2</v>
      </c>
      <c r="E36" s="7">
        <v>0.375</v>
      </c>
      <c r="F36" s="7">
        <v>0.75</v>
      </c>
      <c r="G36" s="7">
        <f t="shared" si="0"/>
        <v>0.33333333333333331</v>
      </c>
      <c r="H36" s="7">
        <f t="shared" si="1"/>
        <v>4.1666666666666685E-2</v>
      </c>
      <c r="I36" t="str">
        <f>IFERROR(IF(INDEX('Attandance Tracker'!$D$3:$AH$50,MATCH($A36,'Attandance Tracker'!$A$3:$A$50,0),DAY($D36))="P","Present",IF(INDEX('Attandance Tracker'!$D$3:$AH$50,MATCH($A36,'Attandance Tracker'!$A$3:$A$50,0),DAY($D36))="A","Absent","Leave")),"")</f>
        <v>Present</v>
      </c>
    </row>
    <row r="37" spans="1:9" x14ac:dyDescent="0.25">
      <c r="A37">
        <v>1002</v>
      </c>
      <c r="B37" t="str">
        <f>_xlfn.IFNA(INDEX('Attandance Tracker'!$B$3:$B$30,MATCH($A37,'Attandance Tracker'!$A$3:$A$30,0)),"")</f>
        <v xml:space="preserve"> Ravi</v>
      </c>
      <c r="C37" s="14" t="str">
        <f>_xlfn.IFNA(INDEX('Attandance Tracker'!$C$3:$C$30,MATCH($A37,'Attandance Tracker'!$A$3:$A$30,0)),"")</f>
        <v>Management</v>
      </c>
      <c r="D37" s="14">
        <v>3</v>
      </c>
      <c r="E37" s="7">
        <v>0.375</v>
      </c>
      <c r="F37" s="7">
        <v>0.83333333333333337</v>
      </c>
      <c r="G37" s="7">
        <f t="shared" si="0"/>
        <v>0.33333333333333331</v>
      </c>
      <c r="H37" s="7">
        <f t="shared" si="1"/>
        <v>0.12500000000000006</v>
      </c>
      <c r="I37" t="str">
        <f>IFERROR(IF(INDEX('Attandance Tracker'!$D$3:$AH$50,MATCH($A37,'Attandance Tracker'!$A$3:$A$50,0),DAY($D37))="P","Present",IF(INDEX('Attandance Tracker'!$D$3:$AH$50,MATCH($A37,'Attandance Tracker'!$A$3:$A$50,0),DAY($D37))="A","Absent","Leave")),"")</f>
        <v>Present</v>
      </c>
    </row>
    <row r="38" spans="1:9" x14ac:dyDescent="0.25">
      <c r="A38">
        <v>1002</v>
      </c>
      <c r="B38" t="str">
        <f>_xlfn.IFNA(INDEX('Attandance Tracker'!$B$3:$B$30,MATCH($A38,'Attandance Tracker'!$A$3:$A$30,0)),"")</f>
        <v xml:space="preserve"> Ravi</v>
      </c>
      <c r="C38" s="14" t="str">
        <f>_xlfn.IFNA(INDEX('Attandance Tracker'!$C$3:$C$30,MATCH($A38,'Attandance Tracker'!$A$3:$A$30,0)),"")</f>
        <v>Management</v>
      </c>
      <c r="D38" s="14">
        <v>4</v>
      </c>
      <c r="E38" s="7">
        <v>0.375</v>
      </c>
      <c r="F38" s="7">
        <v>0.83333333333333337</v>
      </c>
      <c r="G38" s="7">
        <f t="shared" si="0"/>
        <v>0</v>
      </c>
      <c r="H38" s="7">
        <f t="shared" si="1"/>
        <v>0</v>
      </c>
      <c r="I38" t="str">
        <f>IFERROR(IF(INDEX('Attandance Tracker'!$D$3:$AH$50,MATCH($A38,'Attandance Tracker'!$A$3:$A$50,0),DAY($D38))="P","Present",IF(INDEX('Attandance Tracker'!$D$3:$AH$50,MATCH($A38,'Attandance Tracker'!$A$3:$A$50,0),DAY($D38))="A","Absent","Leave")),"")</f>
        <v>Leave</v>
      </c>
    </row>
    <row r="39" spans="1:9" x14ac:dyDescent="0.25">
      <c r="A39">
        <v>1002</v>
      </c>
      <c r="B39" t="str">
        <f>_xlfn.IFNA(INDEX('Attandance Tracker'!$B$3:$B$30,MATCH($A39,'Attandance Tracker'!$A$3:$A$30,0)),"")</f>
        <v xml:space="preserve"> Ravi</v>
      </c>
      <c r="C39" s="14" t="str">
        <f>_xlfn.IFNA(INDEX('Attandance Tracker'!$C$3:$C$30,MATCH($A39,'Attandance Tracker'!$A$3:$A$30,0)),"")</f>
        <v>Management</v>
      </c>
      <c r="D39" s="14">
        <v>5</v>
      </c>
      <c r="E39" s="7">
        <v>0.33333333333333331</v>
      </c>
      <c r="F39" s="7">
        <v>0.83333333333333337</v>
      </c>
      <c r="G39" s="7">
        <f t="shared" si="0"/>
        <v>0</v>
      </c>
      <c r="H39" s="7">
        <f t="shared" si="1"/>
        <v>0</v>
      </c>
      <c r="I39" t="str">
        <f>IFERROR(IF(INDEX('Attandance Tracker'!$D$3:$AH$50,MATCH($A39,'Attandance Tracker'!$A$3:$A$50,0),DAY($D39))="P","Present",IF(INDEX('Attandance Tracker'!$D$3:$AH$50,MATCH($A39,'Attandance Tracker'!$A$3:$A$50,0),DAY($D39))="A","Absent","Leave")),"")</f>
        <v>Leave</v>
      </c>
    </row>
    <row r="40" spans="1:9" x14ac:dyDescent="0.25">
      <c r="A40">
        <v>1002</v>
      </c>
      <c r="B40" t="str">
        <f>_xlfn.IFNA(INDEX('Attandance Tracker'!$B$3:$B$30,MATCH($A40,'Attandance Tracker'!$A$3:$A$30,0)),"")</f>
        <v xml:space="preserve"> Ravi</v>
      </c>
      <c r="C40" s="14" t="str">
        <f>_xlfn.IFNA(INDEX('Attandance Tracker'!$C$3:$C$30,MATCH($A40,'Attandance Tracker'!$A$3:$A$30,0)),"")</f>
        <v>Management</v>
      </c>
      <c r="D40" s="14">
        <v>6</v>
      </c>
      <c r="E40" s="7">
        <v>0.33333333333333331</v>
      </c>
      <c r="F40" s="7">
        <v>0.79166666666666663</v>
      </c>
      <c r="G40" s="7">
        <f t="shared" si="0"/>
        <v>0.33333333333333331</v>
      </c>
      <c r="H40" s="7">
        <f t="shared" si="1"/>
        <v>0.125</v>
      </c>
      <c r="I40" t="str">
        <f>IFERROR(IF(INDEX('Attandance Tracker'!$D$3:$AH$50,MATCH($A40,'Attandance Tracker'!$A$3:$A$50,0),DAY($D40))="P","Present",IF(INDEX('Attandance Tracker'!$D$3:$AH$50,MATCH($A40,'Attandance Tracker'!$A$3:$A$50,0),DAY($D40))="A","Absent","Leave")),"")</f>
        <v>Present</v>
      </c>
    </row>
    <row r="41" spans="1:9" x14ac:dyDescent="0.25">
      <c r="A41">
        <v>1002</v>
      </c>
      <c r="B41" t="str">
        <f>_xlfn.IFNA(INDEX('Attandance Tracker'!$B$3:$B$30,MATCH($A41,'Attandance Tracker'!$A$3:$A$30,0)),"")</f>
        <v xml:space="preserve"> Ravi</v>
      </c>
      <c r="C41" s="14" t="str">
        <f>_xlfn.IFNA(INDEX('Attandance Tracker'!$C$3:$C$30,MATCH($A41,'Attandance Tracker'!$A$3:$A$30,0)),"")</f>
        <v>Management</v>
      </c>
      <c r="D41" s="14">
        <v>7</v>
      </c>
      <c r="E41" s="7">
        <v>0.33333333333333331</v>
      </c>
      <c r="F41" s="7">
        <v>0.75</v>
      </c>
      <c r="G41" s="7">
        <f t="shared" si="0"/>
        <v>0.33333333333333331</v>
      </c>
      <c r="H41" s="7">
        <f t="shared" si="1"/>
        <v>8.333333333333337E-2</v>
      </c>
      <c r="I41" t="str">
        <f>IFERROR(IF(INDEX('Attandance Tracker'!$D$3:$AH$50,MATCH($A41,'Attandance Tracker'!$A$3:$A$50,0),DAY($D41))="P","Present",IF(INDEX('Attandance Tracker'!$D$3:$AH$50,MATCH($A41,'Attandance Tracker'!$A$3:$A$50,0),DAY($D41))="A","Absent","Leave")),"")</f>
        <v>Present</v>
      </c>
    </row>
    <row r="42" spans="1:9" x14ac:dyDescent="0.25">
      <c r="A42">
        <v>1002</v>
      </c>
      <c r="B42" t="str">
        <f>_xlfn.IFNA(INDEX('Attandance Tracker'!$B$3:$B$30,MATCH($A42,'Attandance Tracker'!$A$3:$A$30,0)),"")</f>
        <v xml:space="preserve"> Ravi</v>
      </c>
      <c r="C42" s="14" t="str">
        <f>_xlfn.IFNA(INDEX('Attandance Tracker'!$C$3:$C$30,MATCH($A42,'Attandance Tracker'!$A$3:$A$30,0)),"")</f>
        <v>Management</v>
      </c>
      <c r="D42" s="14">
        <v>8</v>
      </c>
      <c r="E42" s="7">
        <v>0.33333333333333331</v>
      </c>
      <c r="F42" s="7">
        <v>0.75</v>
      </c>
      <c r="G42" s="7">
        <f t="shared" si="0"/>
        <v>0.33333333333333331</v>
      </c>
      <c r="H42" s="7">
        <f t="shared" si="1"/>
        <v>8.333333333333337E-2</v>
      </c>
      <c r="I42" t="str">
        <f>IFERROR(IF(INDEX('Attandance Tracker'!$D$3:$AH$50,MATCH($A42,'Attandance Tracker'!$A$3:$A$50,0),DAY($D42))="P","Present",IF(INDEX('Attandance Tracker'!$D$3:$AH$50,MATCH($A42,'Attandance Tracker'!$A$3:$A$50,0),DAY($D42))="A","Absent","Leave")),"")</f>
        <v>Present</v>
      </c>
    </row>
    <row r="43" spans="1:9" x14ac:dyDescent="0.25">
      <c r="A43">
        <v>1002</v>
      </c>
      <c r="B43" t="str">
        <f>_xlfn.IFNA(INDEX('Attandance Tracker'!$B$3:$B$30,MATCH($A43,'Attandance Tracker'!$A$3:$A$30,0)),"")</f>
        <v xml:space="preserve"> Ravi</v>
      </c>
      <c r="C43" s="14" t="str">
        <f>_xlfn.IFNA(INDEX('Attandance Tracker'!$C$3:$C$30,MATCH($A43,'Attandance Tracker'!$A$3:$A$30,0)),"")</f>
        <v>Management</v>
      </c>
      <c r="D43" s="14">
        <v>9</v>
      </c>
      <c r="E43" s="7">
        <v>0.33333333333333331</v>
      </c>
      <c r="F43" s="7">
        <v>0.75</v>
      </c>
      <c r="G43" s="7">
        <f t="shared" si="0"/>
        <v>0.33333333333333331</v>
      </c>
      <c r="H43" s="7">
        <f t="shared" si="1"/>
        <v>0</v>
      </c>
      <c r="I43" t="str">
        <f>IFERROR(IF(INDEX('Attandance Tracker'!$D$3:$AH$50,MATCH($A43,'Attandance Tracker'!$A$3:$A$50,0),DAY($D43))="P","Present",IF(INDEX('Attandance Tracker'!$D$3:$AH$50,MATCH($A43,'Attandance Tracker'!$A$3:$A$50,0),DAY($D43))="A","Absent","Leave")),"")</f>
        <v>Absent</v>
      </c>
    </row>
    <row r="44" spans="1:9" x14ac:dyDescent="0.25">
      <c r="A44">
        <v>1002</v>
      </c>
      <c r="B44" t="str">
        <f>_xlfn.IFNA(INDEX('Attandance Tracker'!$B$3:$B$30,MATCH($A44,'Attandance Tracker'!$A$3:$A$30,0)),"")</f>
        <v xml:space="preserve"> Ravi</v>
      </c>
      <c r="C44" s="14" t="str">
        <f>_xlfn.IFNA(INDEX('Attandance Tracker'!$C$3:$C$30,MATCH($A44,'Attandance Tracker'!$A$3:$A$30,0)),"")</f>
        <v>Management</v>
      </c>
      <c r="D44" s="14">
        <v>10</v>
      </c>
      <c r="E44" s="7">
        <v>0.33333333333333331</v>
      </c>
      <c r="F44" s="7">
        <v>0.75</v>
      </c>
      <c r="G44" s="7">
        <f t="shared" si="0"/>
        <v>0.33333333333333331</v>
      </c>
      <c r="H44" s="7">
        <f t="shared" si="1"/>
        <v>8.333333333333337E-2</v>
      </c>
      <c r="I44" t="str">
        <f>IFERROR(IF(INDEX('Attandance Tracker'!$D$3:$AH$50,MATCH($A44,'Attandance Tracker'!$A$3:$A$50,0),DAY($D44))="P","Present",IF(INDEX('Attandance Tracker'!$D$3:$AH$50,MATCH($A44,'Attandance Tracker'!$A$3:$A$50,0),DAY($D44))="A","Absent","Leave")),"")</f>
        <v>Present</v>
      </c>
    </row>
    <row r="45" spans="1:9" x14ac:dyDescent="0.25">
      <c r="A45">
        <v>1002</v>
      </c>
      <c r="B45" t="str">
        <f>_xlfn.IFNA(INDEX('Attandance Tracker'!$B$3:$B$30,MATCH($A45,'Attandance Tracker'!$A$3:$A$30,0)),"")</f>
        <v xml:space="preserve"> Ravi</v>
      </c>
      <c r="C45" s="14" t="str">
        <f>_xlfn.IFNA(INDEX('Attandance Tracker'!$C$3:$C$30,MATCH($A45,'Attandance Tracker'!$A$3:$A$30,0)),"")</f>
        <v>Management</v>
      </c>
      <c r="D45" s="14">
        <v>11</v>
      </c>
      <c r="E45" s="7">
        <v>0.33333333333333331</v>
      </c>
      <c r="F45" s="7">
        <v>0.83333333333333337</v>
      </c>
      <c r="G45" s="7">
        <f t="shared" si="0"/>
        <v>0.33333333333333331</v>
      </c>
      <c r="H45" s="7">
        <f t="shared" si="1"/>
        <v>0.16666666666666669</v>
      </c>
      <c r="I45" t="str">
        <f>IFERROR(IF(INDEX('Attandance Tracker'!$D$3:$AH$50,MATCH($A45,'Attandance Tracker'!$A$3:$A$50,0),DAY($D45))="P","Present",IF(INDEX('Attandance Tracker'!$D$3:$AH$50,MATCH($A45,'Attandance Tracker'!$A$3:$A$50,0),DAY($D45))="A","Absent","Leave")),"")</f>
        <v>Present</v>
      </c>
    </row>
    <row r="46" spans="1:9" x14ac:dyDescent="0.25">
      <c r="A46">
        <v>1002</v>
      </c>
      <c r="B46" t="str">
        <f>_xlfn.IFNA(INDEX('Attandance Tracker'!$B$3:$B$30,MATCH($A46,'Attandance Tracker'!$A$3:$A$30,0)),"")</f>
        <v xml:space="preserve"> Ravi</v>
      </c>
      <c r="C46" s="14" t="str">
        <f>_xlfn.IFNA(INDEX('Attandance Tracker'!$C$3:$C$30,MATCH($A46,'Attandance Tracker'!$A$3:$A$30,0)),"")</f>
        <v>Management</v>
      </c>
      <c r="D46" s="14">
        <v>12</v>
      </c>
      <c r="E46" s="7">
        <v>0.375</v>
      </c>
      <c r="F46" s="7">
        <v>0.83333333333333337</v>
      </c>
      <c r="G46" s="7">
        <f t="shared" si="0"/>
        <v>0.33333333333333331</v>
      </c>
      <c r="H46" s="7">
        <f t="shared" si="1"/>
        <v>0.12500000000000006</v>
      </c>
      <c r="I46" t="str">
        <f>IFERROR(IF(INDEX('Attandance Tracker'!$D$3:$AH$50,MATCH($A46,'Attandance Tracker'!$A$3:$A$50,0),DAY($D46))="P","Present",IF(INDEX('Attandance Tracker'!$D$3:$AH$50,MATCH($A46,'Attandance Tracker'!$A$3:$A$50,0),DAY($D46))="A","Absent","Leave")),"")</f>
        <v>Present</v>
      </c>
    </row>
    <row r="47" spans="1:9" x14ac:dyDescent="0.25">
      <c r="A47">
        <v>1002</v>
      </c>
      <c r="B47" t="str">
        <f>_xlfn.IFNA(INDEX('Attandance Tracker'!$B$3:$B$30,MATCH($A47,'Attandance Tracker'!$A$3:$A$30,0)),"")</f>
        <v xml:space="preserve"> Ravi</v>
      </c>
      <c r="C47" s="14" t="str">
        <f>_xlfn.IFNA(INDEX('Attandance Tracker'!$C$3:$C$30,MATCH($A47,'Attandance Tracker'!$A$3:$A$30,0)),"")</f>
        <v>Management</v>
      </c>
      <c r="D47" s="14">
        <v>13</v>
      </c>
      <c r="E47" s="7">
        <v>0.375</v>
      </c>
      <c r="F47" s="7">
        <v>0.83333333333333337</v>
      </c>
      <c r="G47" s="7">
        <f t="shared" si="0"/>
        <v>0.33333333333333331</v>
      </c>
      <c r="H47" s="7">
        <f t="shared" si="1"/>
        <v>0.12500000000000006</v>
      </c>
      <c r="I47" t="str">
        <f>IFERROR(IF(INDEX('Attandance Tracker'!$D$3:$AH$50,MATCH($A47,'Attandance Tracker'!$A$3:$A$50,0),DAY($D47))="P","Present",IF(INDEX('Attandance Tracker'!$D$3:$AH$50,MATCH($A47,'Attandance Tracker'!$A$3:$A$50,0),DAY($D47))="A","Absent","Leave")),"")</f>
        <v>Present</v>
      </c>
    </row>
    <row r="48" spans="1:9" x14ac:dyDescent="0.25">
      <c r="A48">
        <v>1002</v>
      </c>
      <c r="B48" t="str">
        <f>_xlfn.IFNA(INDEX('Attandance Tracker'!$B$3:$B$30,MATCH($A48,'Attandance Tracker'!$A$3:$A$30,0)),"")</f>
        <v xml:space="preserve"> Ravi</v>
      </c>
      <c r="C48" s="14" t="str">
        <f>_xlfn.IFNA(INDEX('Attandance Tracker'!$C$3:$C$30,MATCH($A48,'Attandance Tracker'!$A$3:$A$30,0)),"")</f>
        <v>Management</v>
      </c>
      <c r="D48" s="14">
        <v>14</v>
      </c>
      <c r="E48" s="7">
        <v>0.375</v>
      </c>
      <c r="F48" s="7">
        <v>0.79166666666666663</v>
      </c>
      <c r="G48" s="7">
        <f t="shared" si="0"/>
        <v>0.33333333333333331</v>
      </c>
      <c r="H48" s="7">
        <f t="shared" si="1"/>
        <v>8.3333333333333315E-2</v>
      </c>
      <c r="I48" t="str">
        <f>IFERROR(IF(INDEX('Attandance Tracker'!$D$3:$AH$50,MATCH($A48,'Attandance Tracker'!$A$3:$A$50,0),DAY($D48))="P","Present",IF(INDEX('Attandance Tracker'!$D$3:$AH$50,MATCH($A48,'Attandance Tracker'!$A$3:$A$50,0),DAY($D48))="A","Absent","Leave")),"")</f>
        <v>Present</v>
      </c>
    </row>
    <row r="49" spans="1:9" x14ac:dyDescent="0.25">
      <c r="A49">
        <v>1002</v>
      </c>
      <c r="B49" t="str">
        <f>_xlfn.IFNA(INDEX('Attandance Tracker'!$B$3:$B$30,MATCH($A49,'Attandance Tracker'!$A$3:$A$30,0)),"")</f>
        <v xml:space="preserve"> Ravi</v>
      </c>
      <c r="C49" s="14" t="str">
        <f>_xlfn.IFNA(INDEX('Attandance Tracker'!$C$3:$C$30,MATCH($A49,'Attandance Tracker'!$A$3:$A$30,0)),"")</f>
        <v>Management</v>
      </c>
      <c r="D49" s="14">
        <v>15</v>
      </c>
      <c r="E49" s="7">
        <v>0.375</v>
      </c>
      <c r="F49" s="7">
        <v>0.75</v>
      </c>
      <c r="G49" s="7">
        <f t="shared" si="0"/>
        <v>0.33333333333333331</v>
      </c>
      <c r="H49" s="7">
        <f t="shared" si="1"/>
        <v>4.1666666666666685E-2</v>
      </c>
      <c r="I49" t="str">
        <f>IFERROR(IF(INDEX('Attandance Tracker'!$D$3:$AH$50,MATCH($A49,'Attandance Tracker'!$A$3:$A$50,0),DAY($D49))="P","Present",IF(INDEX('Attandance Tracker'!$D$3:$AH$50,MATCH($A49,'Attandance Tracker'!$A$3:$A$50,0),DAY($D49))="A","Absent","Leave")),"")</f>
        <v>Present</v>
      </c>
    </row>
    <row r="50" spans="1:9" x14ac:dyDescent="0.25">
      <c r="A50">
        <v>1002</v>
      </c>
      <c r="B50" t="str">
        <f>_xlfn.IFNA(INDEX('Attandance Tracker'!$B$3:$B$30,MATCH($A50,'Attandance Tracker'!$A$3:$A$30,0)),"")</f>
        <v xml:space="preserve"> Ravi</v>
      </c>
      <c r="C50" s="14" t="str">
        <f>_xlfn.IFNA(INDEX('Attandance Tracker'!$C$3:$C$30,MATCH($A50,'Attandance Tracker'!$A$3:$A$30,0)),"")</f>
        <v>Management</v>
      </c>
      <c r="D50" s="14">
        <v>16</v>
      </c>
      <c r="E50" s="7">
        <v>0.33333333333333331</v>
      </c>
      <c r="F50" s="7">
        <v>0.75</v>
      </c>
      <c r="G50" s="7">
        <f t="shared" si="0"/>
        <v>0.33333333333333331</v>
      </c>
      <c r="H50" s="7">
        <f t="shared" si="1"/>
        <v>8.333333333333337E-2</v>
      </c>
      <c r="I50" t="str">
        <f>IFERROR(IF(INDEX('Attandance Tracker'!$D$3:$AH$50,MATCH($A50,'Attandance Tracker'!$A$3:$A$50,0),DAY($D50))="P","Present",IF(INDEX('Attandance Tracker'!$D$3:$AH$50,MATCH($A50,'Attandance Tracker'!$A$3:$A$50,0),DAY($D50))="A","Absent","Leave")),"")</f>
        <v>Present</v>
      </c>
    </row>
    <row r="51" spans="1:9" x14ac:dyDescent="0.25">
      <c r="A51">
        <v>1002</v>
      </c>
      <c r="B51" t="str">
        <f>_xlfn.IFNA(INDEX('Attandance Tracker'!$B$3:$B$30,MATCH($A51,'Attandance Tracker'!$A$3:$A$30,0)),"")</f>
        <v xml:space="preserve"> Ravi</v>
      </c>
      <c r="C51" s="14" t="str">
        <f>_xlfn.IFNA(INDEX('Attandance Tracker'!$C$3:$C$30,MATCH($A51,'Attandance Tracker'!$A$3:$A$30,0)),"")</f>
        <v>Management</v>
      </c>
      <c r="D51" s="14">
        <v>17</v>
      </c>
      <c r="E51" s="7">
        <v>0.33333333333333331</v>
      </c>
      <c r="F51" s="7">
        <v>0.75</v>
      </c>
      <c r="G51" s="7">
        <f t="shared" si="0"/>
        <v>0.33333333333333331</v>
      </c>
      <c r="H51" s="7">
        <f t="shared" si="1"/>
        <v>8.333333333333337E-2</v>
      </c>
      <c r="I51" t="str">
        <f>IFERROR(IF(INDEX('Attandance Tracker'!$D$3:$AH$50,MATCH($A51,'Attandance Tracker'!$A$3:$A$50,0),DAY($D51))="P","Present",IF(INDEX('Attandance Tracker'!$D$3:$AH$50,MATCH($A51,'Attandance Tracker'!$A$3:$A$50,0),DAY($D51))="A","Absent","Leave")),"")</f>
        <v>Present</v>
      </c>
    </row>
    <row r="52" spans="1:9" x14ac:dyDescent="0.25">
      <c r="A52">
        <v>1002</v>
      </c>
      <c r="B52" t="str">
        <f>_xlfn.IFNA(INDEX('Attandance Tracker'!$B$3:$B$30,MATCH($A52,'Attandance Tracker'!$A$3:$A$30,0)),"")</f>
        <v xml:space="preserve"> Ravi</v>
      </c>
      <c r="C52" s="14" t="str">
        <f>_xlfn.IFNA(INDEX('Attandance Tracker'!$C$3:$C$30,MATCH($A52,'Attandance Tracker'!$A$3:$A$30,0)),"")</f>
        <v>Management</v>
      </c>
      <c r="D52" s="14">
        <v>18</v>
      </c>
      <c r="E52" s="7">
        <v>0.33333333333333331</v>
      </c>
      <c r="F52" s="7">
        <v>0.75</v>
      </c>
      <c r="G52" s="7">
        <f t="shared" si="0"/>
        <v>0.33333333333333331</v>
      </c>
      <c r="H52" s="7">
        <f t="shared" si="1"/>
        <v>8.333333333333337E-2</v>
      </c>
      <c r="I52" t="str">
        <f>IFERROR(IF(INDEX('Attandance Tracker'!$D$3:$AH$50,MATCH($A52,'Attandance Tracker'!$A$3:$A$50,0),DAY($D52))="P","Present",IF(INDEX('Attandance Tracker'!$D$3:$AH$50,MATCH($A52,'Attandance Tracker'!$A$3:$A$50,0),DAY($D52))="A","Absent","Leave")),"")</f>
        <v>Present</v>
      </c>
    </row>
    <row r="53" spans="1:9" x14ac:dyDescent="0.25">
      <c r="A53">
        <v>1002</v>
      </c>
      <c r="B53" t="str">
        <f>_xlfn.IFNA(INDEX('Attandance Tracker'!$B$3:$B$30,MATCH($A53,'Attandance Tracker'!$A$3:$A$30,0)),"")</f>
        <v xml:space="preserve"> Ravi</v>
      </c>
      <c r="C53" s="14" t="str">
        <f>_xlfn.IFNA(INDEX('Attandance Tracker'!$C$3:$C$30,MATCH($A53,'Attandance Tracker'!$A$3:$A$30,0)),"")</f>
        <v>Management</v>
      </c>
      <c r="D53" s="14">
        <v>19</v>
      </c>
      <c r="E53" s="7">
        <v>0.33333333333333331</v>
      </c>
      <c r="F53" s="7">
        <v>0.83333333333333337</v>
      </c>
      <c r="G53" s="7">
        <f t="shared" si="0"/>
        <v>0.33333333333333331</v>
      </c>
      <c r="H53" s="7">
        <f t="shared" si="1"/>
        <v>0.16666666666666669</v>
      </c>
      <c r="I53" t="str">
        <f>IFERROR(IF(INDEX('Attandance Tracker'!$D$3:$AH$50,MATCH($A53,'Attandance Tracker'!$A$3:$A$50,0),DAY($D53))="P","Present",IF(INDEX('Attandance Tracker'!$D$3:$AH$50,MATCH($A53,'Attandance Tracker'!$A$3:$A$50,0),DAY($D53))="A","Absent","Leave")),"")</f>
        <v>Present</v>
      </c>
    </row>
    <row r="54" spans="1:9" x14ac:dyDescent="0.25">
      <c r="A54">
        <v>1002</v>
      </c>
      <c r="B54" t="str">
        <f>_xlfn.IFNA(INDEX('Attandance Tracker'!$B$3:$B$30,MATCH($A54,'Attandance Tracker'!$A$3:$A$30,0)),"")</f>
        <v xml:space="preserve"> Ravi</v>
      </c>
      <c r="C54" s="14" t="str">
        <f>_xlfn.IFNA(INDEX('Attandance Tracker'!$C$3:$C$30,MATCH($A54,'Attandance Tracker'!$A$3:$A$30,0)),"")</f>
        <v>Management</v>
      </c>
      <c r="D54" s="14">
        <v>20</v>
      </c>
      <c r="E54" s="7">
        <v>0.33333333333333331</v>
      </c>
      <c r="F54" s="7">
        <v>0.83333333333333337</v>
      </c>
      <c r="G54" s="7">
        <f t="shared" si="0"/>
        <v>0.33333333333333331</v>
      </c>
      <c r="H54" s="7">
        <f t="shared" si="1"/>
        <v>0.16666666666666669</v>
      </c>
      <c r="I54" t="str">
        <f>IFERROR(IF(INDEX('Attandance Tracker'!$D$3:$AH$50,MATCH($A54,'Attandance Tracker'!$A$3:$A$50,0),DAY($D54))="P","Present",IF(INDEX('Attandance Tracker'!$D$3:$AH$50,MATCH($A54,'Attandance Tracker'!$A$3:$A$50,0),DAY($D54))="A","Absent","Leave")),"")</f>
        <v>Present</v>
      </c>
    </row>
    <row r="55" spans="1:9" x14ac:dyDescent="0.25">
      <c r="A55">
        <v>1002</v>
      </c>
      <c r="B55" t="str">
        <f>_xlfn.IFNA(INDEX('Attandance Tracker'!$B$3:$B$30,MATCH($A55,'Attandance Tracker'!$A$3:$A$30,0)),"")</f>
        <v xml:space="preserve"> Ravi</v>
      </c>
      <c r="C55" s="14" t="str">
        <f>_xlfn.IFNA(INDEX('Attandance Tracker'!$C$3:$C$30,MATCH($A55,'Attandance Tracker'!$A$3:$A$30,0)),"")</f>
        <v>Management</v>
      </c>
      <c r="D55" s="14">
        <v>21</v>
      </c>
      <c r="E55" s="7">
        <v>0.375</v>
      </c>
      <c r="F55" s="7">
        <v>0.83333333333333337</v>
      </c>
      <c r="G55" s="7">
        <f t="shared" si="0"/>
        <v>0.33333333333333331</v>
      </c>
      <c r="H55" s="7">
        <f t="shared" si="1"/>
        <v>0.12500000000000006</v>
      </c>
      <c r="I55" t="str">
        <f>IFERROR(IF(INDEX('Attandance Tracker'!$D$3:$AH$50,MATCH($A55,'Attandance Tracker'!$A$3:$A$50,0),DAY($D55))="P","Present",IF(INDEX('Attandance Tracker'!$D$3:$AH$50,MATCH($A55,'Attandance Tracker'!$A$3:$A$50,0),DAY($D55))="A","Absent","Leave")),"")</f>
        <v>Present</v>
      </c>
    </row>
    <row r="56" spans="1:9" x14ac:dyDescent="0.25">
      <c r="A56">
        <v>1002</v>
      </c>
      <c r="B56" t="str">
        <f>_xlfn.IFNA(INDEX('Attandance Tracker'!$B$3:$B$30,MATCH($A56,'Attandance Tracker'!$A$3:$A$30,0)),"")</f>
        <v xml:space="preserve"> Ravi</v>
      </c>
      <c r="C56" s="14" t="str">
        <f>_xlfn.IFNA(INDEX('Attandance Tracker'!$C$3:$C$30,MATCH($A56,'Attandance Tracker'!$A$3:$A$30,0)),"")</f>
        <v>Management</v>
      </c>
      <c r="D56" s="14">
        <v>22</v>
      </c>
      <c r="E56" s="7">
        <v>0.375</v>
      </c>
      <c r="F56" s="7">
        <v>0.79166666666666663</v>
      </c>
      <c r="G56" s="7">
        <f t="shared" si="0"/>
        <v>0.33333333333333331</v>
      </c>
      <c r="H56" s="7">
        <f t="shared" si="1"/>
        <v>8.3333333333333315E-2</v>
      </c>
      <c r="I56" t="str">
        <f>IFERROR(IF(INDEX('Attandance Tracker'!$D$3:$AH$50,MATCH($A56,'Attandance Tracker'!$A$3:$A$50,0),DAY($D56))="P","Present",IF(INDEX('Attandance Tracker'!$D$3:$AH$50,MATCH($A56,'Attandance Tracker'!$A$3:$A$50,0),DAY($D56))="A","Absent","Leave")),"")</f>
        <v>Present</v>
      </c>
    </row>
    <row r="57" spans="1:9" x14ac:dyDescent="0.25">
      <c r="A57">
        <v>1002</v>
      </c>
      <c r="B57" t="str">
        <f>_xlfn.IFNA(INDEX('Attandance Tracker'!$B$3:$B$30,MATCH($A57,'Attandance Tracker'!$A$3:$A$30,0)),"")</f>
        <v xml:space="preserve"> Ravi</v>
      </c>
      <c r="C57" s="14" t="str">
        <f>_xlfn.IFNA(INDEX('Attandance Tracker'!$C$3:$C$30,MATCH($A57,'Attandance Tracker'!$A$3:$A$30,0)),"")</f>
        <v>Management</v>
      </c>
      <c r="D57" s="14">
        <v>23</v>
      </c>
      <c r="E57" s="7">
        <v>0.33333333333333331</v>
      </c>
      <c r="F57" s="7">
        <v>0.75</v>
      </c>
      <c r="G57" s="7">
        <f t="shared" si="0"/>
        <v>0.33333333333333331</v>
      </c>
      <c r="H57" s="7">
        <f t="shared" si="1"/>
        <v>8.333333333333337E-2</v>
      </c>
      <c r="I57" t="str">
        <f>IFERROR(IF(INDEX('Attandance Tracker'!$D$3:$AH$50,MATCH($A57,'Attandance Tracker'!$A$3:$A$50,0),DAY($D57))="P","Present",IF(INDEX('Attandance Tracker'!$D$3:$AH$50,MATCH($A57,'Attandance Tracker'!$A$3:$A$50,0),DAY($D57))="A","Absent","Leave")),"")</f>
        <v>Present</v>
      </c>
    </row>
    <row r="58" spans="1:9" x14ac:dyDescent="0.25">
      <c r="A58">
        <v>1002</v>
      </c>
      <c r="B58" t="str">
        <f>_xlfn.IFNA(INDEX('Attandance Tracker'!$B$3:$B$30,MATCH($A58,'Attandance Tracker'!$A$3:$A$30,0)),"")</f>
        <v xml:space="preserve"> Ravi</v>
      </c>
      <c r="C58" s="14" t="str">
        <f>_xlfn.IFNA(INDEX('Attandance Tracker'!$C$3:$C$30,MATCH($A58,'Attandance Tracker'!$A$3:$A$30,0)),"")</f>
        <v>Management</v>
      </c>
      <c r="D58" s="14">
        <v>24</v>
      </c>
      <c r="E58" s="7">
        <v>0.33333333333333331</v>
      </c>
      <c r="F58" s="7">
        <v>0.83333333333333337</v>
      </c>
      <c r="G58" s="7">
        <f t="shared" si="0"/>
        <v>0.33333333333333331</v>
      </c>
      <c r="H58" s="7">
        <f t="shared" si="1"/>
        <v>0.16666666666666669</v>
      </c>
      <c r="I58" t="str">
        <f>IFERROR(IF(INDEX('Attandance Tracker'!$D$3:$AH$50,MATCH($A58,'Attandance Tracker'!$A$3:$A$50,0),DAY($D58))="P","Present",IF(INDEX('Attandance Tracker'!$D$3:$AH$50,MATCH($A58,'Attandance Tracker'!$A$3:$A$50,0),DAY($D58))="A","Absent","Leave")),"")</f>
        <v>Present</v>
      </c>
    </row>
    <row r="59" spans="1:9" x14ac:dyDescent="0.25">
      <c r="A59">
        <v>1002</v>
      </c>
      <c r="B59" t="str">
        <f>_xlfn.IFNA(INDEX('Attandance Tracker'!$B$3:$B$30,MATCH($A59,'Attandance Tracker'!$A$3:$A$30,0)),"")</f>
        <v xml:space="preserve"> Ravi</v>
      </c>
      <c r="C59" s="14" t="str">
        <f>_xlfn.IFNA(INDEX('Attandance Tracker'!$C$3:$C$30,MATCH($A59,'Attandance Tracker'!$A$3:$A$30,0)),"")</f>
        <v>Management</v>
      </c>
      <c r="D59" s="14">
        <v>25</v>
      </c>
      <c r="E59" s="7">
        <v>0.33333333333333331</v>
      </c>
      <c r="F59" s="7">
        <v>0.83333333333333337</v>
      </c>
      <c r="G59" s="7">
        <f t="shared" si="0"/>
        <v>0.33333333333333331</v>
      </c>
      <c r="H59" s="7">
        <f t="shared" si="1"/>
        <v>0.16666666666666669</v>
      </c>
      <c r="I59" t="str">
        <f>IFERROR(IF(INDEX('Attandance Tracker'!$D$3:$AH$50,MATCH($A59,'Attandance Tracker'!$A$3:$A$50,0),DAY($D59))="P","Present",IF(INDEX('Attandance Tracker'!$D$3:$AH$50,MATCH($A59,'Attandance Tracker'!$A$3:$A$50,0),DAY($D59))="A","Absent","Leave")),"")</f>
        <v>Present</v>
      </c>
    </row>
    <row r="60" spans="1:9" x14ac:dyDescent="0.25">
      <c r="A60">
        <v>1002</v>
      </c>
      <c r="B60" t="str">
        <f>_xlfn.IFNA(INDEX('Attandance Tracker'!$B$3:$B$30,MATCH($A60,'Attandance Tracker'!$A$3:$A$30,0)),"")</f>
        <v xml:space="preserve"> Ravi</v>
      </c>
      <c r="C60" s="14" t="str">
        <f>_xlfn.IFNA(INDEX('Attandance Tracker'!$C$3:$C$30,MATCH($A60,'Attandance Tracker'!$A$3:$A$30,0)),"")</f>
        <v>Management</v>
      </c>
      <c r="D60" s="14">
        <v>26</v>
      </c>
      <c r="E60" s="17">
        <v>0.29166666666666669</v>
      </c>
      <c r="F60" s="7">
        <v>0.79166666666666663</v>
      </c>
      <c r="G60" s="7">
        <f t="shared" si="0"/>
        <v>0.33333333333333331</v>
      </c>
      <c r="H60" s="7">
        <f t="shared" si="1"/>
        <v>0.16666666666666663</v>
      </c>
      <c r="I60" t="str">
        <f>IFERROR(IF(INDEX('Attandance Tracker'!$D$3:$AH$50,MATCH($A60,'Attandance Tracker'!$A$3:$A$50,0),DAY($D60))="P","Present",IF(INDEX('Attandance Tracker'!$D$3:$AH$50,MATCH($A60,'Attandance Tracker'!$A$3:$A$50,0),DAY($D60))="A","Absent","Leave")),"")</f>
        <v>Present</v>
      </c>
    </row>
    <row r="61" spans="1:9" x14ac:dyDescent="0.25">
      <c r="A61">
        <v>1002</v>
      </c>
      <c r="B61" t="str">
        <f>_xlfn.IFNA(INDEX('Attandance Tracker'!$B$3:$B$30,MATCH($A61,'Attandance Tracker'!$A$3:$A$30,0)),"")</f>
        <v xml:space="preserve"> Ravi</v>
      </c>
      <c r="C61" s="14" t="str">
        <f>_xlfn.IFNA(INDEX('Attandance Tracker'!$C$3:$C$30,MATCH($A61,'Attandance Tracker'!$A$3:$A$30,0)),"")</f>
        <v>Management</v>
      </c>
      <c r="D61" s="14">
        <v>27</v>
      </c>
      <c r="E61" s="7">
        <v>0.375</v>
      </c>
      <c r="F61" s="7">
        <v>0.83333333333333337</v>
      </c>
      <c r="G61" s="7">
        <f t="shared" si="0"/>
        <v>0.33333333333333331</v>
      </c>
      <c r="H61" s="7">
        <f t="shared" si="1"/>
        <v>0.12500000000000006</v>
      </c>
      <c r="I61" t="str">
        <f>IFERROR(IF(INDEX('Attandance Tracker'!$D$3:$AH$50,MATCH($A61,'Attandance Tracker'!$A$3:$A$50,0),DAY($D61))="P","Present",IF(INDEX('Attandance Tracker'!$D$3:$AH$50,MATCH($A61,'Attandance Tracker'!$A$3:$A$50,0),DAY($D61))="A","Absent","Leave")),"")</f>
        <v>Present</v>
      </c>
    </row>
    <row r="62" spans="1:9" x14ac:dyDescent="0.25">
      <c r="A62">
        <v>1002</v>
      </c>
      <c r="B62" t="str">
        <f>_xlfn.IFNA(INDEX('Attandance Tracker'!$B$3:$B$30,MATCH($A62,'Attandance Tracker'!$A$3:$A$30,0)),"")</f>
        <v xml:space="preserve"> Ravi</v>
      </c>
      <c r="C62" s="14" t="str">
        <f>_xlfn.IFNA(INDEX('Attandance Tracker'!$C$3:$C$30,MATCH($A62,'Attandance Tracker'!$A$3:$A$30,0)),"")</f>
        <v>Management</v>
      </c>
      <c r="D62" s="14">
        <v>28</v>
      </c>
      <c r="E62" s="7">
        <v>0.375</v>
      </c>
      <c r="F62" s="7">
        <v>0.79166666666666663</v>
      </c>
      <c r="G62" s="7">
        <f t="shared" si="0"/>
        <v>0.33333333333333331</v>
      </c>
      <c r="H62" s="7">
        <f t="shared" si="1"/>
        <v>8.3333333333333315E-2</v>
      </c>
      <c r="I62" t="str">
        <f>IFERROR(IF(INDEX('Attandance Tracker'!$D$3:$AH$50,MATCH($A62,'Attandance Tracker'!$A$3:$A$50,0),DAY($D62))="P","Present",IF(INDEX('Attandance Tracker'!$D$3:$AH$50,MATCH($A62,'Attandance Tracker'!$A$3:$A$50,0),DAY($D62))="A","Absent","Leave")),"")</f>
        <v>Present</v>
      </c>
    </row>
    <row r="63" spans="1:9" x14ac:dyDescent="0.25">
      <c r="A63">
        <v>1002</v>
      </c>
      <c r="B63" t="str">
        <f>_xlfn.IFNA(INDEX('Attandance Tracker'!$B$3:$B$30,MATCH($A63,'Attandance Tracker'!$A$3:$A$30,0)),"")</f>
        <v xml:space="preserve"> Ravi</v>
      </c>
      <c r="C63" s="14" t="str">
        <f>_xlfn.IFNA(INDEX('Attandance Tracker'!$C$3:$C$30,MATCH($A63,'Attandance Tracker'!$A$3:$A$30,0)),"")</f>
        <v>Management</v>
      </c>
      <c r="D63" s="14">
        <v>29</v>
      </c>
      <c r="E63" s="7">
        <v>0.33333333333333331</v>
      </c>
      <c r="F63" s="7">
        <v>0.75</v>
      </c>
      <c r="G63" s="7">
        <f t="shared" si="0"/>
        <v>0.33333333333333331</v>
      </c>
      <c r="H63" s="7">
        <f t="shared" si="1"/>
        <v>8.333333333333337E-2</v>
      </c>
      <c r="I63" t="str">
        <f>IFERROR(IF(INDEX('Attandance Tracker'!$D$3:$AH$50,MATCH($A63,'Attandance Tracker'!$A$3:$A$50,0),DAY($D63))="P","Present",IF(INDEX('Attandance Tracker'!$D$3:$AH$50,MATCH($A63,'Attandance Tracker'!$A$3:$A$50,0),DAY($D63))="A","Absent","Leave")),"")</f>
        <v>Present</v>
      </c>
    </row>
    <row r="64" spans="1:9" x14ac:dyDescent="0.25">
      <c r="A64">
        <v>1002</v>
      </c>
      <c r="B64" t="str">
        <f>_xlfn.IFNA(INDEX('Attandance Tracker'!$B$3:$B$30,MATCH($A64,'Attandance Tracker'!$A$3:$A$30,0)),"")</f>
        <v xml:space="preserve"> Ravi</v>
      </c>
      <c r="C64" s="14" t="str">
        <f>_xlfn.IFNA(INDEX('Attandance Tracker'!$C$3:$C$30,MATCH($A64,'Attandance Tracker'!$A$3:$A$30,0)),"")</f>
        <v>Management</v>
      </c>
      <c r="D64" s="14">
        <v>30</v>
      </c>
      <c r="E64" s="7">
        <v>0.33333333333333331</v>
      </c>
      <c r="F64" s="7">
        <v>0.83333333333333337</v>
      </c>
      <c r="G64" s="7">
        <f t="shared" si="0"/>
        <v>0.33333333333333331</v>
      </c>
      <c r="H64" s="7">
        <f t="shared" si="1"/>
        <v>0.16666666666666669</v>
      </c>
      <c r="I64" t="str">
        <f>IFERROR(IF(INDEX('Attandance Tracker'!$D$3:$AH$50,MATCH($A64,'Attandance Tracker'!$A$3:$A$50,0),DAY($D64))="P","Present",IF(INDEX('Attandance Tracker'!$D$3:$AH$50,MATCH($A64,'Attandance Tracker'!$A$3:$A$50,0),DAY($D64))="A","Absent","Leave")),"")</f>
        <v>Present</v>
      </c>
    </row>
    <row r="65" spans="1:9" x14ac:dyDescent="0.25">
      <c r="A65">
        <v>1002</v>
      </c>
      <c r="B65" t="str">
        <f>_xlfn.IFNA(INDEX('Attandance Tracker'!$B$3:$B$30,MATCH($A65,'Attandance Tracker'!$A$3:$A$30,0)),"")</f>
        <v xml:space="preserve"> Ravi</v>
      </c>
      <c r="C65" s="14" t="str">
        <f>_xlfn.IFNA(INDEX('Attandance Tracker'!$C$3:$C$30,MATCH($A65,'Attandance Tracker'!$A$3:$A$30,0)),"")</f>
        <v>Management</v>
      </c>
      <c r="D65" s="10">
        <v>31</v>
      </c>
      <c r="E65" s="7">
        <v>0.33333333333333331</v>
      </c>
      <c r="F65" s="7">
        <v>0.83333333333333337</v>
      </c>
      <c r="G65" s="7">
        <f t="shared" si="0"/>
        <v>0.33333333333333331</v>
      </c>
      <c r="H65" s="7">
        <f t="shared" si="1"/>
        <v>0.16666666666666669</v>
      </c>
      <c r="I65" t="str">
        <f>IFERROR(IF(INDEX('Attandance Tracker'!$D$3:$AH$50,MATCH($A65,'Attandance Tracker'!$A$3:$A$50,0),DAY($D65))="P","Present",IF(INDEX('Attandance Tracker'!$D$3:$AH$50,MATCH($A65,'Attandance Tracker'!$A$3:$A$50,0),DAY($D65))="A","Absent","Leave")),"")</f>
        <v>Present</v>
      </c>
    </row>
    <row r="66" spans="1:9" x14ac:dyDescent="0.25">
      <c r="A66">
        <v>1003</v>
      </c>
      <c r="B66" t="str">
        <f>_xlfn.IFNA(INDEX('Attandance Tracker'!$B$3:$B$30,MATCH($A66,'Attandance Tracker'!$A$3:$A$30,0)),"")</f>
        <v xml:space="preserve"> Neha</v>
      </c>
      <c r="C66" s="14" t="str">
        <f>_xlfn.IFNA(INDEX('Attandance Tracker'!$C$3:$C$30,MATCH($A66,'Attandance Tracker'!$A$3:$A$30,0)),"")</f>
        <v>HR</v>
      </c>
      <c r="D66" s="10">
        <v>1</v>
      </c>
      <c r="E66" s="17">
        <v>0.29166666666666669</v>
      </c>
      <c r="F66" s="7">
        <v>0.79166666666666663</v>
      </c>
      <c r="G66" s="7">
        <f t="shared" si="0"/>
        <v>0.33333333333333331</v>
      </c>
      <c r="H66" s="7">
        <f t="shared" si="1"/>
        <v>0.16666666666666663</v>
      </c>
      <c r="I66" t="str">
        <f>IFERROR(IF(INDEX('Attandance Tracker'!$D$3:$AH$50,MATCH($A66,'Attandance Tracker'!$A$3:$A$50,0),DAY($D66))="P","Present",IF(INDEX('Attandance Tracker'!$D$3:$AH$50,MATCH($A66,'Attandance Tracker'!$A$3:$A$50,0),DAY($D66))="A","Absent","Leave")),"")</f>
        <v>Present</v>
      </c>
    </row>
    <row r="67" spans="1:9" x14ac:dyDescent="0.25">
      <c r="A67">
        <v>1003</v>
      </c>
      <c r="B67" t="str">
        <f>_xlfn.IFNA(INDEX('Attandance Tracker'!$B$3:$B$30,MATCH($A67,'Attandance Tracker'!$A$3:$A$30,0)),"")</f>
        <v xml:space="preserve"> Neha</v>
      </c>
      <c r="C67" s="14" t="str">
        <f>_xlfn.IFNA(INDEX('Attandance Tracker'!$C$3:$C$30,MATCH($A67,'Attandance Tracker'!$A$3:$A$30,0)),"")</f>
        <v>HR</v>
      </c>
      <c r="D67" s="14">
        <v>2</v>
      </c>
      <c r="E67" s="7">
        <v>0.33333333333333331</v>
      </c>
      <c r="F67" s="7">
        <v>0.75</v>
      </c>
      <c r="G67" s="7">
        <f t="shared" si="0"/>
        <v>0.33333333333333331</v>
      </c>
      <c r="H67" s="7">
        <f t="shared" si="1"/>
        <v>8.333333333333337E-2</v>
      </c>
      <c r="I67" t="str">
        <f>IFERROR(IF(INDEX('Attandance Tracker'!$D$3:$AH$50,MATCH($A67,'Attandance Tracker'!$A$3:$A$50,0),DAY($D67))="P","Present",IF(INDEX('Attandance Tracker'!$D$3:$AH$50,MATCH($A67,'Attandance Tracker'!$A$3:$A$50,0),DAY($D67))="A","Absent","Leave")),"")</f>
        <v>Present</v>
      </c>
    </row>
    <row r="68" spans="1:9" x14ac:dyDescent="0.25">
      <c r="A68">
        <v>1003</v>
      </c>
      <c r="B68" t="str">
        <f>_xlfn.IFNA(INDEX('Attandance Tracker'!$B$3:$B$30,MATCH($A68,'Attandance Tracker'!$A$3:$A$30,0)),"")</f>
        <v xml:space="preserve"> Neha</v>
      </c>
      <c r="C68" s="14" t="str">
        <f>_xlfn.IFNA(INDEX('Attandance Tracker'!$C$3:$C$30,MATCH($A68,'Attandance Tracker'!$A$3:$A$30,0)),"")</f>
        <v>HR</v>
      </c>
      <c r="D68" s="14">
        <v>3</v>
      </c>
      <c r="E68" s="7">
        <v>0.33333333333333331</v>
      </c>
      <c r="F68" s="7">
        <v>0.83333333333333337</v>
      </c>
      <c r="G68" s="7">
        <f t="shared" si="0"/>
        <v>0.33333333333333331</v>
      </c>
      <c r="H68" s="7">
        <f t="shared" si="1"/>
        <v>0.16666666666666669</v>
      </c>
      <c r="I68" t="str">
        <f>IFERROR(IF(INDEX('Attandance Tracker'!$D$3:$AH$50,MATCH($A68,'Attandance Tracker'!$A$3:$A$50,0),DAY($D68))="P","Present",IF(INDEX('Attandance Tracker'!$D$3:$AH$50,MATCH($A68,'Attandance Tracker'!$A$3:$A$50,0),DAY($D68))="A","Absent","Leave")),"")</f>
        <v>Present</v>
      </c>
    </row>
    <row r="69" spans="1:9" x14ac:dyDescent="0.25">
      <c r="A69">
        <v>1003</v>
      </c>
      <c r="B69" t="str">
        <f>_xlfn.IFNA(INDEX('Attandance Tracker'!$B$3:$B$30,MATCH($A69,'Attandance Tracker'!$A$3:$A$30,0)),"")</f>
        <v xml:space="preserve"> Neha</v>
      </c>
      <c r="C69" s="14" t="str">
        <f>_xlfn.IFNA(INDEX('Attandance Tracker'!$C$3:$C$30,MATCH($A69,'Attandance Tracker'!$A$3:$A$30,0)),"")</f>
        <v>HR</v>
      </c>
      <c r="D69" s="14">
        <v>4</v>
      </c>
      <c r="E69" s="7">
        <v>0.33333333333333331</v>
      </c>
      <c r="F69" s="7">
        <v>0.83333333333333337</v>
      </c>
      <c r="G69" s="7">
        <f t="shared" ref="G69:G132" si="11">IF(I69="Present",MIN(F69-E69,8/24),IF(I69="Absent",8/24,0))</f>
        <v>0.33333333333333331</v>
      </c>
      <c r="H69" s="7">
        <f t="shared" ref="H69:H132" si="12">IF(I69="Present",MAX(0,F69-E69-8/24),0)</f>
        <v>0.16666666666666669</v>
      </c>
      <c r="I69" t="str">
        <f>IFERROR(IF(INDEX('Attandance Tracker'!$D$3:$AH$50,MATCH($A69,'Attandance Tracker'!$A$3:$A$50,0),DAY($D69))="P","Present",IF(INDEX('Attandance Tracker'!$D$3:$AH$50,MATCH($A69,'Attandance Tracker'!$A$3:$A$50,0),DAY($D69))="A","Absent","Leave")),"")</f>
        <v>Present</v>
      </c>
    </row>
    <row r="70" spans="1:9" x14ac:dyDescent="0.25">
      <c r="A70">
        <v>1003</v>
      </c>
      <c r="B70" t="str">
        <f>_xlfn.IFNA(INDEX('Attandance Tracker'!$B$3:$B$30,MATCH($A70,'Attandance Tracker'!$A$3:$A$30,0)),"")</f>
        <v xml:space="preserve"> Neha</v>
      </c>
      <c r="C70" s="14" t="str">
        <f>_xlfn.IFNA(INDEX('Attandance Tracker'!$C$3:$C$30,MATCH($A70,'Attandance Tracker'!$A$3:$A$30,0)),"")</f>
        <v>HR</v>
      </c>
      <c r="D70" s="14">
        <v>5</v>
      </c>
      <c r="E70" s="7">
        <v>0.33333333333333331</v>
      </c>
      <c r="F70" s="7">
        <v>0.83333333333333337</v>
      </c>
      <c r="G70" s="7">
        <f t="shared" si="11"/>
        <v>0.33333333333333331</v>
      </c>
      <c r="H70" s="7">
        <f t="shared" si="12"/>
        <v>0.16666666666666669</v>
      </c>
      <c r="I70" t="str">
        <f>IFERROR(IF(INDEX('Attandance Tracker'!$D$3:$AH$50,MATCH($A70,'Attandance Tracker'!$A$3:$A$50,0),DAY($D70))="P","Present",IF(INDEX('Attandance Tracker'!$D$3:$AH$50,MATCH($A70,'Attandance Tracker'!$A$3:$A$50,0),DAY($D70))="A","Absent","Leave")),"")</f>
        <v>Present</v>
      </c>
    </row>
    <row r="71" spans="1:9" x14ac:dyDescent="0.25">
      <c r="A71">
        <v>1003</v>
      </c>
      <c r="B71" t="str">
        <f>_xlfn.IFNA(INDEX('Attandance Tracker'!$B$3:$B$30,MATCH($A71,'Attandance Tracker'!$A$3:$A$30,0)),"")</f>
        <v xml:space="preserve"> Neha</v>
      </c>
      <c r="C71" s="14" t="str">
        <f>_xlfn.IFNA(INDEX('Attandance Tracker'!$C$3:$C$30,MATCH($A71,'Attandance Tracker'!$A$3:$A$30,0)),"")</f>
        <v>HR</v>
      </c>
      <c r="D71" s="14">
        <v>6</v>
      </c>
      <c r="E71" s="7">
        <v>0.375</v>
      </c>
      <c r="F71" s="7">
        <v>0.79166666666666663</v>
      </c>
      <c r="G71" s="7">
        <f t="shared" si="11"/>
        <v>0.33333333333333331</v>
      </c>
      <c r="H71" s="7">
        <f t="shared" si="12"/>
        <v>8.3333333333333315E-2</v>
      </c>
      <c r="I71" t="str">
        <f>IFERROR(IF(INDEX('Attandance Tracker'!$D$3:$AH$50,MATCH($A71,'Attandance Tracker'!$A$3:$A$50,0),DAY($D71))="P","Present",IF(INDEX('Attandance Tracker'!$D$3:$AH$50,MATCH($A71,'Attandance Tracker'!$A$3:$A$50,0),DAY($D71))="A","Absent","Leave")),"")</f>
        <v>Present</v>
      </c>
    </row>
    <row r="72" spans="1:9" x14ac:dyDescent="0.25">
      <c r="A72">
        <v>1003</v>
      </c>
      <c r="B72" t="str">
        <f>_xlfn.IFNA(INDEX('Attandance Tracker'!$B$3:$B$30,MATCH($A72,'Attandance Tracker'!$A$3:$A$30,0)),"")</f>
        <v xml:space="preserve"> Neha</v>
      </c>
      <c r="C72" s="14" t="str">
        <f>_xlfn.IFNA(INDEX('Attandance Tracker'!$C$3:$C$30,MATCH($A72,'Attandance Tracker'!$A$3:$A$30,0)),"")</f>
        <v>HR</v>
      </c>
      <c r="D72" s="14">
        <v>7</v>
      </c>
      <c r="E72" s="7">
        <v>0.375</v>
      </c>
      <c r="F72" s="7">
        <v>0.75</v>
      </c>
      <c r="G72" s="7">
        <f t="shared" si="11"/>
        <v>0.33333333333333331</v>
      </c>
      <c r="H72" s="7">
        <f t="shared" si="12"/>
        <v>4.1666666666666685E-2</v>
      </c>
      <c r="I72" t="str">
        <f>IFERROR(IF(INDEX('Attandance Tracker'!$D$3:$AH$50,MATCH($A72,'Attandance Tracker'!$A$3:$A$50,0),DAY($D72))="P","Present",IF(INDEX('Attandance Tracker'!$D$3:$AH$50,MATCH($A72,'Attandance Tracker'!$A$3:$A$50,0),DAY($D72))="A","Absent","Leave")),"")</f>
        <v>Present</v>
      </c>
    </row>
    <row r="73" spans="1:9" x14ac:dyDescent="0.25">
      <c r="A73">
        <v>1003</v>
      </c>
      <c r="B73" t="str">
        <f>_xlfn.IFNA(INDEX('Attandance Tracker'!$B$3:$B$30,MATCH($A73,'Attandance Tracker'!$A$3:$A$30,0)),"")</f>
        <v xml:space="preserve"> Neha</v>
      </c>
      <c r="C73" s="14" t="str">
        <f>_xlfn.IFNA(INDEX('Attandance Tracker'!$C$3:$C$30,MATCH($A73,'Attandance Tracker'!$A$3:$A$30,0)),"")</f>
        <v>HR</v>
      </c>
      <c r="D73" s="14">
        <v>8</v>
      </c>
      <c r="E73" s="7">
        <v>0.33333333333333331</v>
      </c>
      <c r="F73" s="7">
        <v>0.83333333333333337</v>
      </c>
      <c r="G73" s="7">
        <f t="shared" si="11"/>
        <v>0.33333333333333331</v>
      </c>
      <c r="H73" s="7">
        <f t="shared" si="12"/>
        <v>0.16666666666666669</v>
      </c>
      <c r="I73" t="str">
        <f>IFERROR(IF(INDEX('Attandance Tracker'!$D$3:$AH$50,MATCH($A73,'Attandance Tracker'!$A$3:$A$50,0),DAY($D73))="P","Present",IF(INDEX('Attandance Tracker'!$D$3:$AH$50,MATCH($A73,'Attandance Tracker'!$A$3:$A$50,0),DAY($D73))="A","Absent","Leave")),"")</f>
        <v>Present</v>
      </c>
    </row>
    <row r="74" spans="1:9" x14ac:dyDescent="0.25">
      <c r="A74">
        <v>1003</v>
      </c>
      <c r="B74" t="str">
        <f>_xlfn.IFNA(INDEX('Attandance Tracker'!$B$3:$B$30,MATCH($A74,'Attandance Tracker'!$A$3:$A$30,0)),"")</f>
        <v xml:space="preserve"> Neha</v>
      </c>
      <c r="C74" s="14" t="str">
        <f>_xlfn.IFNA(INDEX('Attandance Tracker'!$C$3:$C$30,MATCH($A74,'Attandance Tracker'!$A$3:$A$30,0)),"")</f>
        <v>HR</v>
      </c>
      <c r="D74" s="14">
        <v>9</v>
      </c>
      <c r="E74" s="7">
        <v>0.33333333333333331</v>
      </c>
      <c r="F74" s="7">
        <v>0.83333333333333337</v>
      </c>
      <c r="G74" s="7">
        <f t="shared" si="11"/>
        <v>0.33333333333333331</v>
      </c>
      <c r="H74" s="7">
        <f t="shared" si="12"/>
        <v>0.16666666666666669</v>
      </c>
      <c r="I74" t="str">
        <f>IFERROR(IF(INDEX('Attandance Tracker'!$D$3:$AH$50,MATCH($A74,'Attandance Tracker'!$A$3:$A$50,0),DAY($D74))="P","Present",IF(INDEX('Attandance Tracker'!$D$3:$AH$50,MATCH($A74,'Attandance Tracker'!$A$3:$A$50,0),DAY($D74))="A","Absent","Leave")),"")</f>
        <v>Present</v>
      </c>
    </row>
    <row r="75" spans="1:9" x14ac:dyDescent="0.25">
      <c r="A75">
        <v>1003</v>
      </c>
      <c r="B75" t="str">
        <f>_xlfn.IFNA(INDEX('Attandance Tracker'!$B$3:$B$30,MATCH($A75,'Attandance Tracker'!$A$3:$A$30,0)),"")</f>
        <v xml:space="preserve"> Neha</v>
      </c>
      <c r="C75" s="14" t="str">
        <f>_xlfn.IFNA(INDEX('Attandance Tracker'!$C$3:$C$30,MATCH($A75,'Attandance Tracker'!$A$3:$A$30,0)),"")</f>
        <v>HR</v>
      </c>
      <c r="D75" s="14">
        <v>10</v>
      </c>
      <c r="E75" s="7">
        <v>0.33333333333333331</v>
      </c>
      <c r="F75" s="7">
        <v>0.79166666666666663</v>
      </c>
      <c r="G75" s="7">
        <f t="shared" si="11"/>
        <v>0.33333333333333331</v>
      </c>
      <c r="H75" s="7">
        <f t="shared" si="12"/>
        <v>0.125</v>
      </c>
      <c r="I75" t="str">
        <f>IFERROR(IF(INDEX('Attandance Tracker'!$D$3:$AH$50,MATCH($A75,'Attandance Tracker'!$A$3:$A$50,0),DAY($D75))="P","Present",IF(INDEX('Attandance Tracker'!$D$3:$AH$50,MATCH($A75,'Attandance Tracker'!$A$3:$A$50,0),DAY($D75))="A","Absent","Leave")),"")</f>
        <v>Present</v>
      </c>
    </row>
    <row r="76" spans="1:9" x14ac:dyDescent="0.25">
      <c r="A76">
        <v>1003</v>
      </c>
      <c r="B76" t="str">
        <f>_xlfn.IFNA(INDEX('Attandance Tracker'!$B$3:$B$30,MATCH($A76,'Attandance Tracker'!$A$3:$A$30,0)),"")</f>
        <v xml:space="preserve"> Neha</v>
      </c>
      <c r="C76" s="14" t="str">
        <f>_xlfn.IFNA(INDEX('Attandance Tracker'!$C$3:$C$30,MATCH($A76,'Attandance Tracker'!$A$3:$A$30,0)),"")</f>
        <v>HR</v>
      </c>
      <c r="D76" s="14">
        <v>11</v>
      </c>
      <c r="E76" s="17">
        <v>0.29166666666666669</v>
      </c>
      <c r="F76" s="7">
        <v>0.83333333333333337</v>
      </c>
      <c r="G76" s="7">
        <f t="shared" si="11"/>
        <v>0.33333333333333331</v>
      </c>
      <c r="H76" s="7">
        <f t="shared" si="12"/>
        <v>0.20833333333333343</v>
      </c>
      <c r="I76" t="str">
        <f>IFERROR(IF(INDEX('Attandance Tracker'!$D$3:$AH$50,MATCH($A76,'Attandance Tracker'!$A$3:$A$50,0),DAY($D76))="P","Present",IF(INDEX('Attandance Tracker'!$D$3:$AH$50,MATCH($A76,'Attandance Tracker'!$A$3:$A$50,0),DAY($D76))="A","Absent","Leave")),"")</f>
        <v>Present</v>
      </c>
    </row>
    <row r="77" spans="1:9" x14ac:dyDescent="0.25">
      <c r="A77">
        <v>1003</v>
      </c>
      <c r="B77" t="str">
        <f>_xlfn.IFNA(INDEX('Attandance Tracker'!$B$3:$B$30,MATCH($A77,'Attandance Tracker'!$A$3:$A$30,0)),"")</f>
        <v xml:space="preserve"> Neha</v>
      </c>
      <c r="C77" s="14" t="str">
        <f>_xlfn.IFNA(INDEX('Attandance Tracker'!$C$3:$C$30,MATCH($A77,'Attandance Tracker'!$A$3:$A$30,0)),"")</f>
        <v>HR</v>
      </c>
      <c r="D77" s="14">
        <v>12</v>
      </c>
      <c r="E77" s="7">
        <v>0.33333333333333331</v>
      </c>
      <c r="F77" s="7">
        <v>0.79166666666666663</v>
      </c>
      <c r="G77" s="7">
        <f t="shared" si="11"/>
        <v>0.33333333333333331</v>
      </c>
      <c r="H77" s="7">
        <f t="shared" si="12"/>
        <v>0.125</v>
      </c>
      <c r="I77" t="str">
        <f>IFERROR(IF(INDEX('Attandance Tracker'!$D$3:$AH$50,MATCH($A77,'Attandance Tracker'!$A$3:$A$50,0),DAY($D77))="P","Present",IF(INDEX('Attandance Tracker'!$D$3:$AH$50,MATCH($A77,'Attandance Tracker'!$A$3:$A$50,0),DAY($D77))="A","Absent","Leave")),"")</f>
        <v>Present</v>
      </c>
    </row>
    <row r="78" spans="1:9" x14ac:dyDescent="0.25">
      <c r="A78">
        <v>1003</v>
      </c>
      <c r="B78" t="str">
        <f>_xlfn.IFNA(INDEX('Attandance Tracker'!$B$3:$B$30,MATCH($A78,'Attandance Tracker'!$A$3:$A$30,0)),"")</f>
        <v xml:space="preserve"> Neha</v>
      </c>
      <c r="C78" s="14" t="str">
        <f>_xlfn.IFNA(INDEX('Attandance Tracker'!$C$3:$C$30,MATCH($A78,'Attandance Tracker'!$A$3:$A$30,0)),"")</f>
        <v>HR</v>
      </c>
      <c r="D78" s="14">
        <v>13</v>
      </c>
      <c r="E78" s="7">
        <v>0.33333333333333331</v>
      </c>
      <c r="F78" s="7">
        <v>0.75</v>
      </c>
      <c r="G78" s="7">
        <f t="shared" si="11"/>
        <v>0.33333333333333331</v>
      </c>
      <c r="H78" s="7">
        <f t="shared" si="12"/>
        <v>8.333333333333337E-2</v>
      </c>
      <c r="I78" t="str">
        <f>IFERROR(IF(INDEX('Attandance Tracker'!$D$3:$AH$50,MATCH($A78,'Attandance Tracker'!$A$3:$A$50,0),DAY($D78))="P","Present",IF(INDEX('Attandance Tracker'!$D$3:$AH$50,MATCH($A78,'Attandance Tracker'!$A$3:$A$50,0),DAY($D78))="A","Absent","Leave")),"")</f>
        <v>Present</v>
      </c>
    </row>
    <row r="79" spans="1:9" x14ac:dyDescent="0.25">
      <c r="A79">
        <v>1003</v>
      </c>
      <c r="B79" t="str">
        <f>_xlfn.IFNA(INDEX('Attandance Tracker'!$B$3:$B$30,MATCH($A79,'Attandance Tracker'!$A$3:$A$30,0)),"")</f>
        <v xml:space="preserve"> Neha</v>
      </c>
      <c r="C79" s="14" t="str">
        <f>_xlfn.IFNA(INDEX('Attandance Tracker'!$C$3:$C$30,MATCH($A79,'Attandance Tracker'!$A$3:$A$30,0)),"")</f>
        <v>HR</v>
      </c>
      <c r="D79" s="14">
        <v>14</v>
      </c>
      <c r="E79" s="7">
        <v>0.33333333333333331</v>
      </c>
      <c r="F79" s="7">
        <v>0.83333333333333337</v>
      </c>
      <c r="G79" s="7">
        <f t="shared" si="11"/>
        <v>0.33333333333333331</v>
      </c>
      <c r="H79" s="7">
        <f t="shared" si="12"/>
        <v>0.16666666666666669</v>
      </c>
      <c r="I79" t="str">
        <f>IFERROR(IF(INDEX('Attandance Tracker'!$D$3:$AH$50,MATCH($A79,'Attandance Tracker'!$A$3:$A$50,0),DAY($D79))="P","Present",IF(INDEX('Attandance Tracker'!$D$3:$AH$50,MATCH($A79,'Attandance Tracker'!$A$3:$A$50,0),DAY($D79))="A","Absent","Leave")),"")</f>
        <v>Present</v>
      </c>
    </row>
    <row r="80" spans="1:9" x14ac:dyDescent="0.25">
      <c r="A80">
        <v>1003</v>
      </c>
      <c r="B80" t="str">
        <f>_xlfn.IFNA(INDEX('Attandance Tracker'!$B$3:$B$30,MATCH($A80,'Attandance Tracker'!$A$3:$A$30,0)),"")</f>
        <v xml:space="preserve"> Neha</v>
      </c>
      <c r="C80" s="14" t="str">
        <f>_xlfn.IFNA(INDEX('Attandance Tracker'!$C$3:$C$30,MATCH($A80,'Attandance Tracker'!$A$3:$A$30,0)),"")</f>
        <v>HR</v>
      </c>
      <c r="D80" s="14">
        <v>15</v>
      </c>
      <c r="E80" s="7">
        <v>0.33333333333333331</v>
      </c>
      <c r="F80" s="7">
        <v>0.83333333333333337</v>
      </c>
      <c r="G80" s="7">
        <f t="shared" si="11"/>
        <v>0.33333333333333331</v>
      </c>
      <c r="H80" s="7">
        <f t="shared" si="12"/>
        <v>0.16666666666666669</v>
      </c>
      <c r="I80" t="str">
        <f>IFERROR(IF(INDEX('Attandance Tracker'!$D$3:$AH$50,MATCH($A80,'Attandance Tracker'!$A$3:$A$50,0),DAY($D80))="P","Present",IF(INDEX('Attandance Tracker'!$D$3:$AH$50,MATCH($A80,'Attandance Tracker'!$A$3:$A$50,0),DAY($D80))="A","Absent","Leave")),"")</f>
        <v>Present</v>
      </c>
    </row>
    <row r="81" spans="1:9" x14ac:dyDescent="0.25">
      <c r="A81">
        <v>1003</v>
      </c>
      <c r="B81" t="str">
        <f>_xlfn.IFNA(INDEX('Attandance Tracker'!$B$3:$B$30,MATCH($A81,'Attandance Tracker'!$A$3:$A$30,0)),"")</f>
        <v xml:space="preserve"> Neha</v>
      </c>
      <c r="C81" s="14" t="str">
        <f>_xlfn.IFNA(INDEX('Attandance Tracker'!$C$3:$C$30,MATCH($A81,'Attandance Tracker'!$A$3:$A$30,0)),"")</f>
        <v>HR</v>
      </c>
      <c r="D81" s="14">
        <v>16</v>
      </c>
      <c r="E81" s="7">
        <v>0.375</v>
      </c>
      <c r="F81" s="7">
        <v>0.79166666666666663</v>
      </c>
      <c r="G81" s="7">
        <f t="shared" si="11"/>
        <v>0.33333333333333331</v>
      </c>
      <c r="H81" s="7">
        <f t="shared" si="12"/>
        <v>8.3333333333333315E-2</v>
      </c>
      <c r="I81" t="str">
        <f>IFERROR(IF(INDEX('Attandance Tracker'!$D$3:$AH$50,MATCH($A81,'Attandance Tracker'!$A$3:$A$50,0),DAY($D81))="P","Present",IF(INDEX('Attandance Tracker'!$D$3:$AH$50,MATCH($A81,'Attandance Tracker'!$A$3:$A$50,0),DAY($D81))="A","Absent","Leave")),"")</f>
        <v>Present</v>
      </c>
    </row>
    <row r="82" spans="1:9" x14ac:dyDescent="0.25">
      <c r="A82">
        <v>1003</v>
      </c>
      <c r="B82" t="str">
        <f>_xlfn.IFNA(INDEX('Attandance Tracker'!$B$3:$B$30,MATCH($A82,'Attandance Tracker'!$A$3:$A$30,0)),"")</f>
        <v xml:space="preserve"> Neha</v>
      </c>
      <c r="C82" s="14" t="str">
        <f>_xlfn.IFNA(INDEX('Attandance Tracker'!$C$3:$C$30,MATCH($A82,'Attandance Tracker'!$A$3:$A$30,0)),"")</f>
        <v>HR</v>
      </c>
      <c r="D82" s="14">
        <v>17</v>
      </c>
      <c r="E82" s="7">
        <v>0.375</v>
      </c>
      <c r="F82" s="7">
        <v>0.75</v>
      </c>
      <c r="G82" s="7">
        <f t="shared" si="11"/>
        <v>0.33333333333333331</v>
      </c>
      <c r="H82" s="7">
        <f t="shared" si="12"/>
        <v>4.1666666666666685E-2</v>
      </c>
      <c r="I82" t="str">
        <f>IFERROR(IF(INDEX('Attandance Tracker'!$D$3:$AH$50,MATCH($A82,'Attandance Tracker'!$A$3:$A$50,0),DAY($D82))="P","Present",IF(INDEX('Attandance Tracker'!$D$3:$AH$50,MATCH($A82,'Attandance Tracker'!$A$3:$A$50,0),DAY($D82))="A","Absent","Leave")),"")</f>
        <v>Present</v>
      </c>
    </row>
    <row r="83" spans="1:9" x14ac:dyDescent="0.25">
      <c r="A83">
        <v>1003</v>
      </c>
      <c r="B83" t="str">
        <f>_xlfn.IFNA(INDEX('Attandance Tracker'!$B$3:$B$30,MATCH($A83,'Attandance Tracker'!$A$3:$A$30,0)),"")</f>
        <v xml:space="preserve"> Neha</v>
      </c>
      <c r="C83" s="14" t="str">
        <f>_xlfn.IFNA(INDEX('Attandance Tracker'!$C$3:$C$30,MATCH($A83,'Attandance Tracker'!$A$3:$A$30,0)),"")</f>
        <v>HR</v>
      </c>
      <c r="D83" s="14">
        <v>18</v>
      </c>
      <c r="E83" s="7">
        <v>0.33333333333333331</v>
      </c>
      <c r="F83" s="7">
        <v>0.83333333333333337</v>
      </c>
      <c r="G83" s="7">
        <f t="shared" si="11"/>
        <v>0.33333333333333331</v>
      </c>
      <c r="H83" s="7">
        <f t="shared" si="12"/>
        <v>0.16666666666666669</v>
      </c>
      <c r="I83" t="str">
        <f>IFERROR(IF(INDEX('Attandance Tracker'!$D$3:$AH$50,MATCH($A83,'Attandance Tracker'!$A$3:$A$50,0),DAY($D83))="P","Present",IF(INDEX('Attandance Tracker'!$D$3:$AH$50,MATCH($A83,'Attandance Tracker'!$A$3:$A$50,0),DAY($D83))="A","Absent","Leave")),"")</f>
        <v>Present</v>
      </c>
    </row>
    <row r="84" spans="1:9" x14ac:dyDescent="0.25">
      <c r="A84">
        <v>1003</v>
      </c>
      <c r="B84" t="str">
        <f>_xlfn.IFNA(INDEX('Attandance Tracker'!$B$3:$B$30,MATCH($A84,'Attandance Tracker'!$A$3:$A$30,0)),"")</f>
        <v xml:space="preserve"> Neha</v>
      </c>
      <c r="C84" s="14" t="str">
        <f>_xlfn.IFNA(INDEX('Attandance Tracker'!$C$3:$C$30,MATCH($A84,'Attandance Tracker'!$A$3:$A$30,0)),"")</f>
        <v>HR</v>
      </c>
      <c r="D84" s="14">
        <v>19</v>
      </c>
      <c r="E84" s="7">
        <v>0.33333333333333331</v>
      </c>
      <c r="F84" s="7">
        <v>0.83333333333333337</v>
      </c>
      <c r="G84" s="7">
        <f t="shared" si="11"/>
        <v>0.33333333333333331</v>
      </c>
      <c r="H84" s="7">
        <f t="shared" si="12"/>
        <v>0.16666666666666669</v>
      </c>
      <c r="I84" t="str">
        <f>IFERROR(IF(INDEX('Attandance Tracker'!$D$3:$AH$50,MATCH($A84,'Attandance Tracker'!$A$3:$A$50,0),DAY($D84))="P","Present",IF(INDEX('Attandance Tracker'!$D$3:$AH$50,MATCH($A84,'Attandance Tracker'!$A$3:$A$50,0),DAY($D84))="A","Absent","Leave")),"")</f>
        <v>Present</v>
      </c>
    </row>
    <row r="85" spans="1:9" x14ac:dyDescent="0.25">
      <c r="A85">
        <v>1003</v>
      </c>
      <c r="B85" t="str">
        <f>_xlfn.IFNA(INDEX('Attandance Tracker'!$B$3:$B$30,MATCH($A85,'Attandance Tracker'!$A$3:$A$30,0)),"")</f>
        <v xml:space="preserve"> Neha</v>
      </c>
      <c r="C85" s="14" t="str">
        <f>_xlfn.IFNA(INDEX('Attandance Tracker'!$C$3:$C$30,MATCH($A85,'Attandance Tracker'!$A$3:$A$30,0)),"")</f>
        <v>HR</v>
      </c>
      <c r="D85" s="14">
        <v>20</v>
      </c>
      <c r="E85" s="7">
        <v>0.33333333333333331</v>
      </c>
      <c r="F85" s="7">
        <v>0.83333333333333337</v>
      </c>
      <c r="G85" s="7">
        <f t="shared" si="11"/>
        <v>0.33333333333333331</v>
      </c>
      <c r="H85" s="7">
        <f t="shared" si="12"/>
        <v>0.16666666666666669</v>
      </c>
      <c r="I85" t="str">
        <f>IFERROR(IF(INDEX('Attandance Tracker'!$D$3:$AH$50,MATCH($A85,'Attandance Tracker'!$A$3:$A$50,0),DAY($D85))="P","Present",IF(INDEX('Attandance Tracker'!$D$3:$AH$50,MATCH($A85,'Attandance Tracker'!$A$3:$A$50,0),DAY($D85))="A","Absent","Leave")),"")</f>
        <v>Present</v>
      </c>
    </row>
    <row r="86" spans="1:9" x14ac:dyDescent="0.25">
      <c r="A86">
        <v>1003</v>
      </c>
      <c r="B86" t="str">
        <f>_xlfn.IFNA(INDEX('Attandance Tracker'!$B$3:$B$30,MATCH($A86,'Attandance Tracker'!$A$3:$A$30,0)),"")</f>
        <v xml:space="preserve"> Neha</v>
      </c>
      <c r="C86" s="14" t="str">
        <f>_xlfn.IFNA(INDEX('Attandance Tracker'!$C$3:$C$30,MATCH($A86,'Attandance Tracker'!$A$3:$A$30,0)),"")</f>
        <v>HR</v>
      </c>
      <c r="D86" s="14">
        <v>21</v>
      </c>
      <c r="E86" s="17">
        <v>0.29166666666666669</v>
      </c>
      <c r="F86" s="7">
        <v>0.79166666666666663</v>
      </c>
      <c r="G86" s="7">
        <f t="shared" si="11"/>
        <v>0.33333333333333331</v>
      </c>
      <c r="H86" s="7">
        <f t="shared" si="12"/>
        <v>0.16666666666666663</v>
      </c>
      <c r="I86" t="str">
        <f>IFERROR(IF(INDEX('Attandance Tracker'!$D$3:$AH$50,MATCH($A86,'Attandance Tracker'!$A$3:$A$50,0),DAY($D86))="P","Present",IF(INDEX('Attandance Tracker'!$D$3:$AH$50,MATCH($A86,'Attandance Tracker'!$A$3:$A$50,0),DAY($D86))="A","Absent","Leave")),"")</f>
        <v>Present</v>
      </c>
    </row>
    <row r="87" spans="1:9" x14ac:dyDescent="0.25">
      <c r="A87">
        <v>1003</v>
      </c>
      <c r="B87" t="str">
        <f>_xlfn.IFNA(INDEX('Attandance Tracker'!$B$3:$B$30,MATCH($A87,'Attandance Tracker'!$A$3:$A$30,0)),"")</f>
        <v xml:space="preserve"> Neha</v>
      </c>
      <c r="C87" s="14" t="str">
        <f>_xlfn.IFNA(INDEX('Attandance Tracker'!$C$3:$C$30,MATCH($A87,'Attandance Tracker'!$A$3:$A$30,0)),"")</f>
        <v>HR</v>
      </c>
      <c r="D87" s="14">
        <v>22</v>
      </c>
      <c r="E87" s="7">
        <v>0.33333333333333331</v>
      </c>
      <c r="F87" s="7">
        <v>0.75</v>
      </c>
      <c r="G87" s="7">
        <f t="shared" si="11"/>
        <v>0.33333333333333331</v>
      </c>
      <c r="H87" s="7">
        <f t="shared" si="12"/>
        <v>8.333333333333337E-2</v>
      </c>
      <c r="I87" t="str">
        <f>IFERROR(IF(INDEX('Attandance Tracker'!$D$3:$AH$50,MATCH($A87,'Attandance Tracker'!$A$3:$A$50,0),DAY($D87))="P","Present",IF(INDEX('Attandance Tracker'!$D$3:$AH$50,MATCH($A87,'Attandance Tracker'!$A$3:$A$50,0),DAY($D87))="A","Absent","Leave")),"")</f>
        <v>Present</v>
      </c>
    </row>
    <row r="88" spans="1:9" x14ac:dyDescent="0.25">
      <c r="A88">
        <v>1003</v>
      </c>
      <c r="B88" t="str">
        <f>_xlfn.IFNA(INDEX('Attandance Tracker'!$B$3:$B$30,MATCH($A88,'Attandance Tracker'!$A$3:$A$30,0)),"")</f>
        <v xml:space="preserve"> Neha</v>
      </c>
      <c r="C88" s="14" t="str">
        <f>_xlfn.IFNA(INDEX('Attandance Tracker'!$C$3:$C$30,MATCH($A88,'Attandance Tracker'!$A$3:$A$30,0)),"")</f>
        <v>HR</v>
      </c>
      <c r="D88" s="14">
        <v>23</v>
      </c>
      <c r="E88" s="7">
        <v>0.33333333333333331</v>
      </c>
      <c r="F88" s="7">
        <v>0.83333333333333337</v>
      </c>
      <c r="G88" s="7">
        <f t="shared" si="11"/>
        <v>0.33333333333333331</v>
      </c>
      <c r="H88" s="7">
        <f t="shared" si="12"/>
        <v>0.16666666666666669</v>
      </c>
      <c r="I88" t="str">
        <f>IFERROR(IF(INDEX('Attandance Tracker'!$D$3:$AH$50,MATCH($A88,'Attandance Tracker'!$A$3:$A$50,0),DAY($D88))="P","Present",IF(INDEX('Attandance Tracker'!$D$3:$AH$50,MATCH($A88,'Attandance Tracker'!$A$3:$A$50,0),DAY($D88))="A","Absent","Leave")),"")</f>
        <v>Present</v>
      </c>
    </row>
    <row r="89" spans="1:9" x14ac:dyDescent="0.25">
      <c r="A89">
        <v>1003</v>
      </c>
      <c r="B89" t="str">
        <f>_xlfn.IFNA(INDEX('Attandance Tracker'!$B$3:$B$30,MATCH($A89,'Attandance Tracker'!$A$3:$A$30,0)),"")</f>
        <v xml:space="preserve"> Neha</v>
      </c>
      <c r="C89" s="14" t="str">
        <f>_xlfn.IFNA(INDEX('Attandance Tracker'!$C$3:$C$30,MATCH($A89,'Attandance Tracker'!$A$3:$A$30,0)),"")</f>
        <v>HR</v>
      </c>
      <c r="D89" s="14">
        <v>24</v>
      </c>
      <c r="E89" s="7">
        <v>0.33333333333333331</v>
      </c>
      <c r="F89" s="7">
        <v>0.83333333333333337</v>
      </c>
      <c r="G89" s="7">
        <f t="shared" si="11"/>
        <v>0.33333333333333331</v>
      </c>
      <c r="H89" s="7">
        <f t="shared" si="12"/>
        <v>0.16666666666666669</v>
      </c>
      <c r="I89" t="str">
        <f>IFERROR(IF(INDEX('Attandance Tracker'!$D$3:$AH$50,MATCH($A89,'Attandance Tracker'!$A$3:$A$50,0),DAY($D89))="P","Present",IF(INDEX('Attandance Tracker'!$D$3:$AH$50,MATCH($A89,'Attandance Tracker'!$A$3:$A$50,0),DAY($D89))="A","Absent","Leave")),"")</f>
        <v>Present</v>
      </c>
    </row>
    <row r="90" spans="1:9" x14ac:dyDescent="0.25">
      <c r="A90">
        <v>1003</v>
      </c>
      <c r="B90" t="str">
        <f>_xlfn.IFNA(INDEX('Attandance Tracker'!$B$3:$B$30,MATCH($A90,'Attandance Tracker'!$A$3:$A$30,0)),"")</f>
        <v xml:space="preserve"> Neha</v>
      </c>
      <c r="C90" s="14" t="str">
        <f>_xlfn.IFNA(INDEX('Attandance Tracker'!$C$3:$C$30,MATCH($A90,'Attandance Tracker'!$A$3:$A$30,0)),"")</f>
        <v>HR</v>
      </c>
      <c r="D90" s="14">
        <v>25</v>
      </c>
      <c r="E90" s="7">
        <v>0.33333333333333331</v>
      </c>
      <c r="F90" s="7">
        <v>0.79166666666666663</v>
      </c>
      <c r="G90" s="7">
        <f t="shared" si="11"/>
        <v>0.33333333333333331</v>
      </c>
      <c r="H90" s="7">
        <f t="shared" si="12"/>
        <v>0.125</v>
      </c>
      <c r="I90" t="str">
        <f>IFERROR(IF(INDEX('Attandance Tracker'!$D$3:$AH$50,MATCH($A90,'Attandance Tracker'!$A$3:$A$50,0),DAY($D90))="P","Present",IF(INDEX('Attandance Tracker'!$D$3:$AH$50,MATCH($A90,'Attandance Tracker'!$A$3:$A$50,0),DAY($D90))="A","Absent","Leave")),"")</f>
        <v>Present</v>
      </c>
    </row>
    <row r="91" spans="1:9" x14ac:dyDescent="0.25">
      <c r="A91">
        <v>1003</v>
      </c>
      <c r="B91" t="str">
        <f>_xlfn.IFNA(INDEX('Attandance Tracker'!$B$3:$B$30,MATCH($A91,'Attandance Tracker'!$A$3:$A$30,0)),"")</f>
        <v xml:space="preserve"> Neha</v>
      </c>
      <c r="C91" s="14" t="str">
        <f>_xlfn.IFNA(INDEX('Attandance Tracker'!$C$3:$C$30,MATCH($A91,'Attandance Tracker'!$A$3:$A$30,0)),"")</f>
        <v>HR</v>
      </c>
      <c r="D91" s="14">
        <v>26</v>
      </c>
      <c r="E91" s="7">
        <v>0.375</v>
      </c>
      <c r="F91" s="7">
        <v>0.83333333333333337</v>
      </c>
      <c r="G91" s="7">
        <f t="shared" si="11"/>
        <v>0.33333333333333331</v>
      </c>
      <c r="H91" s="7">
        <f t="shared" si="12"/>
        <v>0.12500000000000006</v>
      </c>
      <c r="I91" t="str">
        <f>IFERROR(IF(INDEX('Attandance Tracker'!$D$3:$AH$50,MATCH($A91,'Attandance Tracker'!$A$3:$A$50,0),DAY($D91))="P","Present",IF(INDEX('Attandance Tracker'!$D$3:$AH$50,MATCH($A91,'Attandance Tracker'!$A$3:$A$50,0),DAY($D91))="A","Absent","Leave")),"")</f>
        <v>Present</v>
      </c>
    </row>
    <row r="92" spans="1:9" x14ac:dyDescent="0.25">
      <c r="A92">
        <v>1003</v>
      </c>
      <c r="B92" t="str">
        <f>_xlfn.IFNA(INDEX('Attandance Tracker'!$B$3:$B$30,MATCH($A92,'Attandance Tracker'!$A$3:$A$30,0)),"")</f>
        <v xml:space="preserve"> Neha</v>
      </c>
      <c r="C92" s="14" t="str">
        <f>_xlfn.IFNA(INDEX('Attandance Tracker'!$C$3:$C$30,MATCH($A92,'Attandance Tracker'!$A$3:$A$30,0)),"")</f>
        <v>HR</v>
      </c>
      <c r="D92" s="14">
        <v>27</v>
      </c>
      <c r="E92" s="7">
        <v>0.375</v>
      </c>
      <c r="F92" s="7">
        <v>0.79166666666666663</v>
      </c>
      <c r="G92" s="7">
        <f t="shared" si="11"/>
        <v>0.33333333333333331</v>
      </c>
      <c r="H92" s="7">
        <f t="shared" si="12"/>
        <v>8.3333333333333315E-2</v>
      </c>
      <c r="I92" t="str">
        <f>IFERROR(IF(INDEX('Attandance Tracker'!$D$3:$AH$50,MATCH($A92,'Attandance Tracker'!$A$3:$A$50,0),DAY($D92))="P","Present",IF(INDEX('Attandance Tracker'!$D$3:$AH$50,MATCH($A92,'Attandance Tracker'!$A$3:$A$50,0),DAY($D92))="A","Absent","Leave")),"")</f>
        <v>Present</v>
      </c>
    </row>
    <row r="93" spans="1:9" x14ac:dyDescent="0.25">
      <c r="A93">
        <v>1003</v>
      </c>
      <c r="B93" t="str">
        <f>_xlfn.IFNA(INDEX('Attandance Tracker'!$B$3:$B$30,MATCH($A93,'Attandance Tracker'!$A$3:$A$30,0)),"")</f>
        <v xml:space="preserve"> Neha</v>
      </c>
      <c r="C93" s="14" t="str">
        <f>_xlfn.IFNA(INDEX('Attandance Tracker'!$C$3:$C$30,MATCH($A93,'Attandance Tracker'!$A$3:$A$30,0)),"")</f>
        <v>HR</v>
      </c>
      <c r="D93" s="14">
        <v>28</v>
      </c>
      <c r="E93" s="7">
        <v>0.33333333333333331</v>
      </c>
      <c r="F93" s="7">
        <v>0.75</v>
      </c>
      <c r="G93" s="7">
        <f t="shared" si="11"/>
        <v>0.33333333333333331</v>
      </c>
      <c r="H93" s="7">
        <f t="shared" si="12"/>
        <v>8.333333333333337E-2</v>
      </c>
      <c r="I93" t="str">
        <f>IFERROR(IF(INDEX('Attandance Tracker'!$D$3:$AH$50,MATCH($A93,'Attandance Tracker'!$A$3:$A$50,0),DAY($D93))="P","Present",IF(INDEX('Attandance Tracker'!$D$3:$AH$50,MATCH($A93,'Attandance Tracker'!$A$3:$A$50,0),DAY($D93))="A","Absent","Leave")),"")</f>
        <v>Present</v>
      </c>
    </row>
    <row r="94" spans="1:9" x14ac:dyDescent="0.25">
      <c r="A94">
        <v>1003</v>
      </c>
      <c r="B94" t="str">
        <f>_xlfn.IFNA(INDEX('Attandance Tracker'!$B$3:$B$30,MATCH($A94,'Attandance Tracker'!$A$3:$A$30,0)),"")</f>
        <v xml:space="preserve"> Neha</v>
      </c>
      <c r="C94" s="14" t="str">
        <f>_xlfn.IFNA(INDEX('Attandance Tracker'!$C$3:$C$30,MATCH($A94,'Attandance Tracker'!$A$3:$A$30,0)),"")</f>
        <v>HR</v>
      </c>
      <c r="D94" s="14">
        <v>29</v>
      </c>
      <c r="E94" s="7">
        <v>0.33333333333333331</v>
      </c>
      <c r="F94" s="7">
        <v>0.83333333333333337</v>
      </c>
      <c r="G94" s="7">
        <f t="shared" si="11"/>
        <v>0.33333333333333331</v>
      </c>
      <c r="H94" s="7">
        <f t="shared" si="12"/>
        <v>0.16666666666666669</v>
      </c>
      <c r="I94" t="str">
        <f>IFERROR(IF(INDEX('Attandance Tracker'!$D$3:$AH$50,MATCH($A94,'Attandance Tracker'!$A$3:$A$50,0),DAY($D94))="P","Present",IF(INDEX('Attandance Tracker'!$D$3:$AH$50,MATCH($A94,'Attandance Tracker'!$A$3:$A$50,0),DAY($D94))="A","Absent","Leave")),"")</f>
        <v>Present</v>
      </c>
    </row>
    <row r="95" spans="1:9" x14ac:dyDescent="0.25">
      <c r="A95">
        <v>1003</v>
      </c>
      <c r="B95" t="str">
        <f>_xlfn.IFNA(INDEX('Attandance Tracker'!$B$3:$B$30,MATCH($A95,'Attandance Tracker'!$A$3:$A$30,0)),"")</f>
        <v xml:space="preserve"> Neha</v>
      </c>
      <c r="C95" s="14" t="str">
        <f>_xlfn.IFNA(INDEX('Attandance Tracker'!$C$3:$C$30,MATCH($A95,'Attandance Tracker'!$A$3:$A$30,0)),"")</f>
        <v>HR</v>
      </c>
      <c r="D95" s="14">
        <v>30</v>
      </c>
      <c r="E95" s="7">
        <v>0.33333333333333331</v>
      </c>
      <c r="F95" s="7">
        <v>0.83333333333333337</v>
      </c>
      <c r="G95" s="7">
        <f t="shared" si="11"/>
        <v>0.33333333333333331</v>
      </c>
      <c r="H95" s="7">
        <f t="shared" si="12"/>
        <v>0.16666666666666669</v>
      </c>
      <c r="I95" t="str">
        <f>IFERROR(IF(INDEX('Attandance Tracker'!$D$3:$AH$50,MATCH($A95,'Attandance Tracker'!$A$3:$A$50,0),DAY($D95))="P","Present",IF(INDEX('Attandance Tracker'!$D$3:$AH$50,MATCH($A95,'Attandance Tracker'!$A$3:$A$50,0),DAY($D95))="A","Absent","Leave")),"")</f>
        <v>Present</v>
      </c>
    </row>
    <row r="96" spans="1:9" x14ac:dyDescent="0.25">
      <c r="A96">
        <v>1003</v>
      </c>
      <c r="B96" t="str">
        <f>_xlfn.IFNA(INDEX('Attandance Tracker'!$B$3:$B$30,MATCH($A96,'Attandance Tracker'!$A$3:$A$30,0)),"")</f>
        <v xml:space="preserve"> Neha</v>
      </c>
      <c r="C96" s="14" t="str">
        <f>_xlfn.IFNA(INDEX('Attandance Tracker'!$C$3:$C$30,MATCH($A96,'Attandance Tracker'!$A$3:$A$30,0)),"")</f>
        <v>HR</v>
      </c>
      <c r="D96" s="14">
        <v>31</v>
      </c>
      <c r="E96" s="17">
        <v>0.29166666666666669</v>
      </c>
      <c r="F96" s="7">
        <v>0.79166666666666663</v>
      </c>
      <c r="G96" s="7">
        <f t="shared" si="11"/>
        <v>0.33333333333333331</v>
      </c>
      <c r="H96" s="7">
        <f t="shared" si="12"/>
        <v>0.16666666666666663</v>
      </c>
      <c r="I96" t="str">
        <f>IFERROR(IF(INDEX('Attandance Tracker'!$D$3:$AH$50,MATCH($A96,'Attandance Tracker'!$A$3:$A$50,0),DAY($D96))="P","Present",IF(INDEX('Attandance Tracker'!$D$3:$AH$50,MATCH($A96,'Attandance Tracker'!$A$3:$A$50,0),DAY($D96))="A","Absent","Leave")),"")</f>
        <v>Present</v>
      </c>
    </row>
    <row r="97" spans="1:9" x14ac:dyDescent="0.25">
      <c r="A97">
        <v>1004</v>
      </c>
      <c r="B97" t="str">
        <f>_xlfn.IFNA(INDEX('Attandance Tracker'!$B$3:$B$30,MATCH($A97,'Attandance Tracker'!$A$3:$A$30,0)),"")</f>
        <v xml:space="preserve"> Priya</v>
      </c>
      <c r="C97" s="14" t="str">
        <f>_xlfn.IFNA(INDEX('Attandance Tracker'!$C$3:$C$30,MATCH($A97,'Attandance Tracker'!$A$3:$A$30,0)),"")</f>
        <v>Finance</v>
      </c>
      <c r="D97" s="10">
        <v>1</v>
      </c>
      <c r="E97" s="7">
        <v>0.33333333333333331</v>
      </c>
      <c r="F97" s="7">
        <v>0.83333333333333337</v>
      </c>
      <c r="G97" s="7">
        <f t="shared" si="11"/>
        <v>0.33333333333333331</v>
      </c>
      <c r="H97" s="7">
        <f t="shared" si="12"/>
        <v>0.16666666666666669</v>
      </c>
      <c r="I97" t="str">
        <f>IFERROR(IF(INDEX('Attandance Tracker'!$D$3:$AH$50,MATCH($A97,'Attandance Tracker'!$A$3:$A$50,0),DAY($D97))="P","Present",IF(INDEX('Attandance Tracker'!$D$3:$AH$50,MATCH($A97,'Attandance Tracker'!$A$3:$A$50,0),DAY($D97))="A","Absent","Leave")),"")</f>
        <v>Present</v>
      </c>
    </row>
    <row r="98" spans="1:9" x14ac:dyDescent="0.25">
      <c r="A98">
        <v>1004</v>
      </c>
      <c r="B98" t="str">
        <f>_xlfn.IFNA(INDEX('Attandance Tracker'!$B$3:$B$30,MATCH($A98,'Attandance Tracker'!$A$3:$A$30,0)),"")</f>
        <v xml:space="preserve"> Priya</v>
      </c>
      <c r="C98" s="14" t="str">
        <f>_xlfn.IFNA(INDEX('Attandance Tracker'!$C$3:$C$30,MATCH($A98,'Attandance Tracker'!$A$3:$A$30,0)),"")</f>
        <v>Finance</v>
      </c>
      <c r="D98" s="14">
        <v>2</v>
      </c>
      <c r="E98" s="7">
        <v>0.375</v>
      </c>
      <c r="F98" s="7">
        <v>0.83333333333333337</v>
      </c>
      <c r="G98" s="7">
        <f t="shared" si="11"/>
        <v>0.33333333333333331</v>
      </c>
      <c r="H98" s="7">
        <f t="shared" si="12"/>
        <v>0.12500000000000006</v>
      </c>
      <c r="I98" t="str">
        <f>IFERROR(IF(INDEX('Attandance Tracker'!$D$3:$AH$50,MATCH($A98,'Attandance Tracker'!$A$3:$A$50,0),DAY($D98))="P","Present",IF(INDEX('Attandance Tracker'!$D$3:$AH$50,MATCH($A98,'Attandance Tracker'!$A$3:$A$50,0),DAY($D98))="A","Absent","Leave")),"")</f>
        <v>Present</v>
      </c>
    </row>
    <row r="99" spans="1:9" x14ac:dyDescent="0.25">
      <c r="A99">
        <v>1004</v>
      </c>
      <c r="B99" t="str">
        <f>_xlfn.IFNA(INDEX('Attandance Tracker'!$B$3:$B$30,MATCH($A99,'Attandance Tracker'!$A$3:$A$30,0)),"")</f>
        <v xml:space="preserve"> Priya</v>
      </c>
      <c r="C99" s="14" t="str">
        <f>_xlfn.IFNA(INDEX('Attandance Tracker'!$C$3:$C$30,MATCH($A99,'Attandance Tracker'!$A$3:$A$30,0)),"")</f>
        <v>Finance</v>
      </c>
      <c r="D99" s="14">
        <v>3</v>
      </c>
      <c r="E99" s="7">
        <v>0.375</v>
      </c>
      <c r="F99" s="7">
        <v>0.79166666666666663</v>
      </c>
      <c r="G99" s="7">
        <f t="shared" si="11"/>
        <v>0.33333333333333331</v>
      </c>
      <c r="H99" s="7">
        <f t="shared" si="12"/>
        <v>8.3333333333333315E-2</v>
      </c>
      <c r="I99" t="str">
        <f>IFERROR(IF(INDEX('Attandance Tracker'!$D$3:$AH$50,MATCH($A99,'Attandance Tracker'!$A$3:$A$50,0),DAY($D99))="P","Present",IF(INDEX('Attandance Tracker'!$D$3:$AH$50,MATCH($A99,'Attandance Tracker'!$A$3:$A$50,0),DAY($D99))="A","Absent","Leave")),"")</f>
        <v>Present</v>
      </c>
    </row>
    <row r="100" spans="1:9" x14ac:dyDescent="0.25">
      <c r="A100">
        <v>1004</v>
      </c>
      <c r="B100" t="str">
        <f>_xlfn.IFNA(INDEX('Attandance Tracker'!$B$3:$B$30,MATCH($A100,'Attandance Tracker'!$A$3:$A$30,0)),"")</f>
        <v xml:space="preserve"> Priya</v>
      </c>
      <c r="C100" s="14" t="str">
        <f>_xlfn.IFNA(INDEX('Attandance Tracker'!$C$3:$C$30,MATCH($A100,'Attandance Tracker'!$A$3:$A$30,0)),"")</f>
        <v>Finance</v>
      </c>
      <c r="D100" s="14">
        <v>4</v>
      </c>
      <c r="E100" s="7">
        <v>0.375</v>
      </c>
      <c r="F100" s="7">
        <v>0.83333333333333337</v>
      </c>
      <c r="G100" s="7">
        <f t="shared" si="11"/>
        <v>0.33333333333333331</v>
      </c>
      <c r="H100" s="7">
        <f t="shared" si="12"/>
        <v>0.12500000000000006</v>
      </c>
      <c r="I100" t="str">
        <f>IFERROR(IF(INDEX('Attandance Tracker'!$D$3:$AH$50,MATCH($A100,'Attandance Tracker'!$A$3:$A$50,0),DAY($D100))="P","Present",IF(INDEX('Attandance Tracker'!$D$3:$AH$50,MATCH($A100,'Attandance Tracker'!$A$3:$A$50,0),DAY($D100))="A","Absent","Leave")),"")</f>
        <v>Present</v>
      </c>
    </row>
    <row r="101" spans="1:9" x14ac:dyDescent="0.25">
      <c r="A101">
        <v>1004</v>
      </c>
      <c r="B101" t="str">
        <f>_xlfn.IFNA(INDEX('Attandance Tracker'!$B$3:$B$30,MATCH($A101,'Attandance Tracker'!$A$3:$A$30,0)),"")</f>
        <v xml:space="preserve"> Priya</v>
      </c>
      <c r="C101" s="14" t="str">
        <f>_xlfn.IFNA(INDEX('Attandance Tracker'!$C$3:$C$30,MATCH($A101,'Attandance Tracker'!$A$3:$A$30,0)),"")</f>
        <v>Finance</v>
      </c>
      <c r="D101" s="14">
        <v>5</v>
      </c>
      <c r="E101" s="7">
        <v>0.33333333333333331</v>
      </c>
      <c r="F101" s="7">
        <v>0.79166666666666663</v>
      </c>
      <c r="G101" s="7">
        <f t="shared" si="11"/>
        <v>0.33333333333333331</v>
      </c>
      <c r="H101" s="7">
        <f t="shared" si="12"/>
        <v>0.125</v>
      </c>
      <c r="I101" t="str">
        <f>IFERROR(IF(INDEX('Attandance Tracker'!$D$3:$AH$50,MATCH($A101,'Attandance Tracker'!$A$3:$A$50,0),DAY($D101))="P","Present",IF(INDEX('Attandance Tracker'!$D$3:$AH$50,MATCH($A101,'Attandance Tracker'!$A$3:$A$50,0),DAY($D101))="A","Absent","Leave")),"")</f>
        <v>Present</v>
      </c>
    </row>
    <row r="102" spans="1:9" x14ac:dyDescent="0.25">
      <c r="A102">
        <v>1004</v>
      </c>
      <c r="B102" t="str">
        <f>_xlfn.IFNA(INDEX('Attandance Tracker'!$B$3:$B$30,MATCH($A102,'Attandance Tracker'!$A$3:$A$30,0)),"")</f>
        <v xml:space="preserve"> Priya</v>
      </c>
      <c r="C102" s="14" t="str">
        <f>_xlfn.IFNA(INDEX('Attandance Tracker'!$C$3:$C$30,MATCH($A102,'Attandance Tracker'!$A$3:$A$30,0)),"")</f>
        <v>Finance</v>
      </c>
      <c r="D102" s="14">
        <v>6</v>
      </c>
      <c r="E102" s="7">
        <v>0.33333333333333331</v>
      </c>
      <c r="F102" s="7">
        <v>0.75</v>
      </c>
      <c r="G102" s="7">
        <f t="shared" si="11"/>
        <v>0.33333333333333331</v>
      </c>
      <c r="H102" s="7">
        <f t="shared" si="12"/>
        <v>8.333333333333337E-2</v>
      </c>
      <c r="I102" t="str">
        <f>IFERROR(IF(INDEX('Attandance Tracker'!$D$3:$AH$50,MATCH($A102,'Attandance Tracker'!$A$3:$A$50,0),DAY($D102))="P","Present",IF(INDEX('Attandance Tracker'!$D$3:$AH$50,MATCH($A102,'Attandance Tracker'!$A$3:$A$50,0),DAY($D102))="A","Absent","Leave")),"")</f>
        <v>Present</v>
      </c>
    </row>
    <row r="103" spans="1:9" x14ac:dyDescent="0.25">
      <c r="A103">
        <v>1004</v>
      </c>
      <c r="B103" t="str">
        <f>_xlfn.IFNA(INDEX('Attandance Tracker'!$B$3:$B$30,MATCH($A103,'Attandance Tracker'!$A$3:$A$30,0)),"")</f>
        <v xml:space="preserve"> Priya</v>
      </c>
      <c r="C103" s="14" t="str">
        <f>_xlfn.IFNA(INDEX('Attandance Tracker'!$C$3:$C$30,MATCH($A103,'Attandance Tracker'!$A$3:$A$30,0)),"")</f>
        <v>Finance</v>
      </c>
      <c r="D103" s="14">
        <v>7</v>
      </c>
      <c r="E103" s="7">
        <v>0.33333333333333331</v>
      </c>
      <c r="F103" s="7">
        <v>0.83333333333333337</v>
      </c>
      <c r="G103" s="7">
        <f t="shared" si="11"/>
        <v>0.33333333333333331</v>
      </c>
      <c r="H103" s="7">
        <f t="shared" si="12"/>
        <v>0.16666666666666669</v>
      </c>
      <c r="I103" t="str">
        <f>IFERROR(IF(INDEX('Attandance Tracker'!$D$3:$AH$50,MATCH($A103,'Attandance Tracker'!$A$3:$A$50,0),DAY($D103))="P","Present",IF(INDEX('Attandance Tracker'!$D$3:$AH$50,MATCH($A103,'Attandance Tracker'!$A$3:$A$50,0),DAY($D103))="A","Absent","Leave")),"")</f>
        <v>Present</v>
      </c>
    </row>
    <row r="104" spans="1:9" x14ac:dyDescent="0.25">
      <c r="A104">
        <v>1004</v>
      </c>
      <c r="B104" t="str">
        <f>_xlfn.IFNA(INDEX('Attandance Tracker'!$B$3:$B$30,MATCH($A104,'Attandance Tracker'!$A$3:$A$30,0)),"")</f>
        <v xml:space="preserve"> Priya</v>
      </c>
      <c r="C104" s="14" t="str">
        <f>_xlfn.IFNA(INDEX('Attandance Tracker'!$C$3:$C$30,MATCH($A104,'Attandance Tracker'!$A$3:$A$30,0)),"")</f>
        <v>Finance</v>
      </c>
      <c r="D104" s="14">
        <v>8</v>
      </c>
      <c r="E104" s="7">
        <v>0.33333333333333331</v>
      </c>
      <c r="F104" s="7">
        <v>0.83333333333333337</v>
      </c>
      <c r="G104" s="7">
        <f t="shared" si="11"/>
        <v>0.33333333333333331</v>
      </c>
      <c r="H104" s="7">
        <f t="shared" si="12"/>
        <v>0.16666666666666669</v>
      </c>
      <c r="I104" t="str">
        <f>IFERROR(IF(INDEX('Attandance Tracker'!$D$3:$AH$50,MATCH($A104,'Attandance Tracker'!$A$3:$A$50,0),DAY($D104))="P","Present",IF(INDEX('Attandance Tracker'!$D$3:$AH$50,MATCH($A104,'Attandance Tracker'!$A$3:$A$50,0),DAY($D104))="A","Absent","Leave")),"")</f>
        <v>Present</v>
      </c>
    </row>
    <row r="105" spans="1:9" x14ac:dyDescent="0.25">
      <c r="A105">
        <v>1004</v>
      </c>
      <c r="B105" t="str">
        <f>_xlfn.IFNA(INDEX('Attandance Tracker'!$B$3:$B$30,MATCH($A105,'Attandance Tracker'!$A$3:$A$30,0)),"")</f>
        <v xml:space="preserve"> Priya</v>
      </c>
      <c r="C105" s="14" t="str">
        <f>_xlfn.IFNA(INDEX('Attandance Tracker'!$C$3:$C$30,MATCH($A105,'Attandance Tracker'!$A$3:$A$30,0)),"")</f>
        <v>Finance</v>
      </c>
      <c r="D105" s="14">
        <v>9</v>
      </c>
      <c r="E105" s="7">
        <v>0.33333333333333331</v>
      </c>
      <c r="F105" s="7">
        <v>0.79166666666666663</v>
      </c>
      <c r="G105" s="7">
        <f t="shared" si="11"/>
        <v>0.33333333333333331</v>
      </c>
      <c r="H105" s="7">
        <f t="shared" si="12"/>
        <v>0.125</v>
      </c>
      <c r="I105" t="str">
        <f>IFERROR(IF(INDEX('Attandance Tracker'!$D$3:$AH$50,MATCH($A105,'Attandance Tracker'!$A$3:$A$50,0),DAY($D105))="P","Present",IF(INDEX('Attandance Tracker'!$D$3:$AH$50,MATCH($A105,'Attandance Tracker'!$A$3:$A$50,0),DAY($D105))="A","Absent","Leave")),"")</f>
        <v>Present</v>
      </c>
    </row>
    <row r="106" spans="1:9" x14ac:dyDescent="0.25">
      <c r="A106">
        <v>1004</v>
      </c>
      <c r="B106" t="str">
        <f>_xlfn.IFNA(INDEX('Attandance Tracker'!$B$3:$B$30,MATCH($A106,'Attandance Tracker'!$A$3:$A$30,0)),"")</f>
        <v xml:space="preserve"> Priya</v>
      </c>
      <c r="C106" s="14" t="str">
        <f>_xlfn.IFNA(INDEX('Attandance Tracker'!$C$3:$C$30,MATCH($A106,'Attandance Tracker'!$A$3:$A$30,0)),"")</f>
        <v>Finance</v>
      </c>
      <c r="D106" s="14">
        <v>10</v>
      </c>
      <c r="E106" s="7">
        <v>0.33333333333333331</v>
      </c>
      <c r="F106" s="7">
        <v>0.75</v>
      </c>
      <c r="G106" s="7">
        <f t="shared" si="11"/>
        <v>0.33333333333333331</v>
      </c>
      <c r="H106" s="7">
        <f t="shared" si="12"/>
        <v>8.333333333333337E-2</v>
      </c>
      <c r="I106" t="str">
        <f>IFERROR(IF(INDEX('Attandance Tracker'!$D$3:$AH$50,MATCH($A106,'Attandance Tracker'!$A$3:$A$50,0),DAY($D106))="P","Present",IF(INDEX('Attandance Tracker'!$D$3:$AH$50,MATCH($A106,'Attandance Tracker'!$A$3:$A$50,0),DAY($D106))="A","Absent","Leave")),"")</f>
        <v>Present</v>
      </c>
    </row>
    <row r="107" spans="1:9" x14ac:dyDescent="0.25">
      <c r="A107">
        <v>1004</v>
      </c>
      <c r="B107" t="str">
        <f>_xlfn.IFNA(INDEX('Attandance Tracker'!$B$3:$B$30,MATCH($A107,'Attandance Tracker'!$A$3:$A$30,0)),"")</f>
        <v xml:space="preserve"> Priya</v>
      </c>
      <c r="C107" s="14" t="str">
        <f>_xlfn.IFNA(INDEX('Attandance Tracker'!$C$3:$C$30,MATCH($A107,'Attandance Tracker'!$A$3:$A$30,0)),"")</f>
        <v>Finance</v>
      </c>
      <c r="D107" s="14">
        <v>11</v>
      </c>
      <c r="E107" s="7">
        <v>0.33333333333333331</v>
      </c>
      <c r="F107" s="7">
        <v>0.83333333333333337</v>
      </c>
      <c r="G107" s="7">
        <f t="shared" si="11"/>
        <v>0.33333333333333331</v>
      </c>
      <c r="H107" s="7">
        <f t="shared" si="12"/>
        <v>0.16666666666666669</v>
      </c>
      <c r="I107" t="str">
        <f>IFERROR(IF(INDEX('Attandance Tracker'!$D$3:$AH$50,MATCH($A107,'Attandance Tracker'!$A$3:$A$50,0),DAY($D107))="P","Present",IF(INDEX('Attandance Tracker'!$D$3:$AH$50,MATCH($A107,'Attandance Tracker'!$A$3:$A$50,0),DAY($D107))="A","Absent","Leave")),"")</f>
        <v>Present</v>
      </c>
    </row>
    <row r="108" spans="1:9" x14ac:dyDescent="0.25">
      <c r="A108">
        <v>1004</v>
      </c>
      <c r="B108" t="str">
        <f>_xlfn.IFNA(INDEX('Attandance Tracker'!$B$3:$B$30,MATCH($A108,'Attandance Tracker'!$A$3:$A$30,0)),"")</f>
        <v xml:space="preserve"> Priya</v>
      </c>
      <c r="C108" s="14" t="str">
        <f>_xlfn.IFNA(INDEX('Attandance Tracker'!$C$3:$C$30,MATCH($A108,'Attandance Tracker'!$A$3:$A$30,0)),"")</f>
        <v>Finance</v>
      </c>
      <c r="D108" s="14">
        <v>12</v>
      </c>
      <c r="E108" s="7">
        <v>0.375</v>
      </c>
      <c r="F108" s="7">
        <v>0.83333333333333337</v>
      </c>
      <c r="G108" s="7">
        <f t="shared" si="11"/>
        <v>0.33333333333333331</v>
      </c>
      <c r="H108" s="7">
        <f t="shared" si="12"/>
        <v>0.12500000000000006</v>
      </c>
      <c r="I108" t="str">
        <f>IFERROR(IF(INDEX('Attandance Tracker'!$D$3:$AH$50,MATCH($A108,'Attandance Tracker'!$A$3:$A$50,0),DAY($D108))="P","Present",IF(INDEX('Attandance Tracker'!$D$3:$AH$50,MATCH($A108,'Attandance Tracker'!$A$3:$A$50,0),DAY($D108))="A","Absent","Leave")),"")</f>
        <v>Present</v>
      </c>
    </row>
    <row r="109" spans="1:9" x14ac:dyDescent="0.25">
      <c r="A109">
        <v>1004</v>
      </c>
      <c r="B109" t="str">
        <f>_xlfn.IFNA(INDEX('Attandance Tracker'!$B$3:$B$30,MATCH($A109,'Attandance Tracker'!$A$3:$A$30,0)),"")</f>
        <v xml:space="preserve"> Priya</v>
      </c>
      <c r="C109" s="14" t="str">
        <f>_xlfn.IFNA(INDEX('Attandance Tracker'!$C$3:$C$30,MATCH($A109,'Attandance Tracker'!$A$3:$A$30,0)),"")</f>
        <v>Finance</v>
      </c>
      <c r="D109" s="14">
        <v>13</v>
      </c>
      <c r="E109" s="7">
        <v>0.375</v>
      </c>
      <c r="F109" s="7">
        <v>0.83333333333333337</v>
      </c>
      <c r="G109" s="7">
        <f t="shared" si="11"/>
        <v>0.33333333333333331</v>
      </c>
      <c r="H109" s="7">
        <f t="shared" si="12"/>
        <v>0.12500000000000006</v>
      </c>
      <c r="I109" t="str">
        <f>IFERROR(IF(INDEX('Attandance Tracker'!$D$3:$AH$50,MATCH($A109,'Attandance Tracker'!$A$3:$A$50,0),DAY($D109))="P","Present",IF(INDEX('Attandance Tracker'!$D$3:$AH$50,MATCH($A109,'Attandance Tracker'!$A$3:$A$50,0),DAY($D109))="A","Absent","Leave")),"")</f>
        <v>Present</v>
      </c>
    </row>
    <row r="110" spans="1:9" x14ac:dyDescent="0.25">
      <c r="A110">
        <v>1004</v>
      </c>
      <c r="B110" t="str">
        <f>_xlfn.IFNA(INDEX('Attandance Tracker'!$B$3:$B$30,MATCH($A110,'Attandance Tracker'!$A$3:$A$30,0)),"")</f>
        <v xml:space="preserve"> Priya</v>
      </c>
      <c r="C110" s="14" t="str">
        <f>_xlfn.IFNA(INDEX('Attandance Tracker'!$C$3:$C$30,MATCH($A110,'Attandance Tracker'!$A$3:$A$30,0)),"")</f>
        <v>Finance</v>
      </c>
      <c r="D110" s="14">
        <v>14</v>
      </c>
      <c r="E110" s="7">
        <v>0.375</v>
      </c>
      <c r="F110" s="7">
        <v>0.79166666666666663</v>
      </c>
      <c r="G110" s="7">
        <f t="shared" si="11"/>
        <v>0.33333333333333331</v>
      </c>
      <c r="H110" s="7">
        <f t="shared" si="12"/>
        <v>8.3333333333333315E-2</v>
      </c>
      <c r="I110" t="str">
        <f>IFERROR(IF(INDEX('Attandance Tracker'!$D$3:$AH$50,MATCH($A110,'Attandance Tracker'!$A$3:$A$50,0),DAY($D110))="P","Present",IF(INDEX('Attandance Tracker'!$D$3:$AH$50,MATCH($A110,'Attandance Tracker'!$A$3:$A$50,0),DAY($D110))="A","Absent","Leave")),"")</f>
        <v>Present</v>
      </c>
    </row>
    <row r="111" spans="1:9" x14ac:dyDescent="0.25">
      <c r="A111">
        <v>1004</v>
      </c>
      <c r="B111" t="str">
        <f>_xlfn.IFNA(INDEX('Attandance Tracker'!$B$3:$B$30,MATCH($A111,'Attandance Tracker'!$A$3:$A$30,0)),"")</f>
        <v xml:space="preserve"> Priya</v>
      </c>
      <c r="C111" s="14" t="str">
        <f>_xlfn.IFNA(INDEX('Attandance Tracker'!$C$3:$C$30,MATCH($A111,'Attandance Tracker'!$A$3:$A$30,0)),"")</f>
        <v>Finance</v>
      </c>
      <c r="D111" s="14">
        <v>15</v>
      </c>
      <c r="E111" s="7">
        <v>0.33333333333333331</v>
      </c>
      <c r="F111" s="7">
        <v>0.75</v>
      </c>
      <c r="G111" s="7">
        <f t="shared" si="11"/>
        <v>0.33333333333333331</v>
      </c>
      <c r="H111" s="7">
        <f t="shared" si="12"/>
        <v>8.333333333333337E-2</v>
      </c>
      <c r="I111" t="str">
        <f>IFERROR(IF(INDEX('Attandance Tracker'!$D$3:$AH$50,MATCH($A111,'Attandance Tracker'!$A$3:$A$50,0),DAY($D111))="P","Present",IF(INDEX('Attandance Tracker'!$D$3:$AH$50,MATCH($A111,'Attandance Tracker'!$A$3:$A$50,0),DAY($D111))="A","Absent","Leave")),"")</f>
        <v>Present</v>
      </c>
    </row>
    <row r="112" spans="1:9" x14ac:dyDescent="0.25">
      <c r="A112">
        <v>1004</v>
      </c>
      <c r="B112" t="str">
        <f>_xlfn.IFNA(INDEX('Attandance Tracker'!$B$3:$B$30,MATCH($A112,'Attandance Tracker'!$A$3:$A$30,0)),"")</f>
        <v xml:space="preserve"> Priya</v>
      </c>
      <c r="C112" s="14" t="str">
        <f>_xlfn.IFNA(INDEX('Attandance Tracker'!$C$3:$C$30,MATCH($A112,'Attandance Tracker'!$A$3:$A$30,0)),"")</f>
        <v>Finance</v>
      </c>
      <c r="D112" s="14">
        <v>16</v>
      </c>
      <c r="E112" s="7">
        <v>0.33333333333333331</v>
      </c>
      <c r="F112" s="7">
        <v>0.83333333333333337</v>
      </c>
      <c r="G112" s="7">
        <f t="shared" si="11"/>
        <v>0.33333333333333331</v>
      </c>
      <c r="H112" s="7">
        <f t="shared" si="12"/>
        <v>0.16666666666666669</v>
      </c>
      <c r="I112" t="str">
        <f>IFERROR(IF(INDEX('Attandance Tracker'!$D$3:$AH$50,MATCH($A112,'Attandance Tracker'!$A$3:$A$50,0),DAY($D112))="P","Present",IF(INDEX('Attandance Tracker'!$D$3:$AH$50,MATCH($A112,'Attandance Tracker'!$A$3:$A$50,0),DAY($D112))="A","Absent","Leave")),"")</f>
        <v>Present</v>
      </c>
    </row>
    <row r="113" spans="1:9" x14ac:dyDescent="0.25">
      <c r="A113">
        <v>1004</v>
      </c>
      <c r="B113" t="str">
        <f>_xlfn.IFNA(INDEX('Attandance Tracker'!$B$3:$B$30,MATCH($A113,'Attandance Tracker'!$A$3:$A$30,0)),"")</f>
        <v xml:space="preserve"> Priya</v>
      </c>
      <c r="C113" s="14" t="str">
        <f>_xlfn.IFNA(INDEX('Attandance Tracker'!$C$3:$C$30,MATCH($A113,'Attandance Tracker'!$A$3:$A$30,0)),"")</f>
        <v>Finance</v>
      </c>
      <c r="D113" s="14">
        <v>17</v>
      </c>
      <c r="E113" s="7">
        <v>0.33333333333333331</v>
      </c>
      <c r="F113" s="7">
        <v>0.83333333333333337</v>
      </c>
      <c r="G113" s="7">
        <f t="shared" si="11"/>
        <v>0.33333333333333331</v>
      </c>
      <c r="H113" s="7">
        <f t="shared" si="12"/>
        <v>0.16666666666666669</v>
      </c>
      <c r="I113" t="str">
        <f>IFERROR(IF(INDEX('Attandance Tracker'!$D$3:$AH$50,MATCH($A113,'Attandance Tracker'!$A$3:$A$50,0),DAY($D113))="P","Present",IF(INDEX('Attandance Tracker'!$D$3:$AH$50,MATCH($A113,'Attandance Tracker'!$A$3:$A$50,0),DAY($D113))="A","Absent","Leave")),"")</f>
        <v>Present</v>
      </c>
    </row>
    <row r="114" spans="1:9" x14ac:dyDescent="0.25">
      <c r="A114">
        <v>1004</v>
      </c>
      <c r="B114" t="str">
        <f>_xlfn.IFNA(INDEX('Attandance Tracker'!$B$3:$B$30,MATCH($A114,'Attandance Tracker'!$A$3:$A$30,0)),"")</f>
        <v xml:space="preserve"> Priya</v>
      </c>
      <c r="C114" s="14" t="str">
        <f>_xlfn.IFNA(INDEX('Attandance Tracker'!$C$3:$C$30,MATCH($A114,'Attandance Tracker'!$A$3:$A$30,0)),"")</f>
        <v>Finance</v>
      </c>
      <c r="D114" s="14">
        <v>18</v>
      </c>
      <c r="E114" s="7">
        <v>0.33333333333333331</v>
      </c>
      <c r="F114" s="7">
        <v>0.83333333333333337</v>
      </c>
      <c r="G114" s="7">
        <f t="shared" si="11"/>
        <v>0.33333333333333331</v>
      </c>
      <c r="H114" s="7">
        <f t="shared" si="12"/>
        <v>0.16666666666666669</v>
      </c>
      <c r="I114" t="str">
        <f>IFERROR(IF(INDEX('Attandance Tracker'!$D$3:$AH$50,MATCH($A114,'Attandance Tracker'!$A$3:$A$50,0),DAY($D114))="P","Present",IF(INDEX('Attandance Tracker'!$D$3:$AH$50,MATCH($A114,'Attandance Tracker'!$A$3:$A$50,0),DAY($D114))="A","Absent","Leave")),"")</f>
        <v>Present</v>
      </c>
    </row>
    <row r="115" spans="1:9" x14ac:dyDescent="0.25">
      <c r="A115">
        <v>1004</v>
      </c>
      <c r="B115" t="str">
        <f>_xlfn.IFNA(INDEX('Attandance Tracker'!$B$3:$B$30,MATCH($A115,'Attandance Tracker'!$A$3:$A$30,0)),"")</f>
        <v xml:space="preserve"> Priya</v>
      </c>
      <c r="C115" s="14" t="str">
        <f>_xlfn.IFNA(INDEX('Attandance Tracker'!$C$3:$C$30,MATCH($A115,'Attandance Tracker'!$A$3:$A$30,0)),"")</f>
        <v>Finance</v>
      </c>
      <c r="D115" s="14">
        <v>19</v>
      </c>
      <c r="E115" s="7">
        <v>0.33333333333333331</v>
      </c>
      <c r="F115" s="7">
        <v>0.83333333333333337</v>
      </c>
      <c r="G115" s="7">
        <f t="shared" si="11"/>
        <v>0.33333333333333331</v>
      </c>
      <c r="H115" s="7">
        <f t="shared" si="12"/>
        <v>0.16666666666666669</v>
      </c>
      <c r="I115" t="str">
        <f>IFERROR(IF(INDEX('Attandance Tracker'!$D$3:$AH$50,MATCH($A115,'Attandance Tracker'!$A$3:$A$50,0),DAY($D115))="P","Present",IF(INDEX('Attandance Tracker'!$D$3:$AH$50,MATCH($A115,'Attandance Tracker'!$A$3:$A$50,0),DAY($D115))="A","Absent","Leave")),"")</f>
        <v>Present</v>
      </c>
    </row>
    <row r="116" spans="1:9" x14ac:dyDescent="0.25">
      <c r="A116">
        <v>1004</v>
      </c>
      <c r="B116" t="str">
        <f>_xlfn.IFNA(INDEX('Attandance Tracker'!$B$3:$B$30,MATCH($A116,'Attandance Tracker'!$A$3:$A$30,0)),"")</f>
        <v xml:space="preserve"> Priya</v>
      </c>
      <c r="C116" s="14" t="str">
        <f>_xlfn.IFNA(INDEX('Attandance Tracker'!$C$3:$C$30,MATCH($A116,'Attandance Tracker'!$A$3:$A$30,0)),"")</f>
        <v>Finance</v>
      </c>
      <c r="D116" s="14">
        <v>20</v>
      </c>
      <c r="E116" s="7">
        <v>0.33333333333333331</v>
      </c>
      <c r="F116" s="7">
        <v>0.79166666666666663</v>
      </c>
      <c r="G116" s="7">
        <f t="shared" si="11"/>
        <v>0.33333333333333331</v>
      </c>
      <c r="H116" s="7">
        <f t="shared" si="12"/>
        <v>0.125</v>
      </c>
      <c r="I116" t="str">
        <f>IFERROR(IF(INDEX('Attandance Tracker'!$D$3:$AH$50,MATCH($A116,'Attandance Tracker'!$A$3:$A$50,0),DAY($D116))="P","Present",IF(INDEX('Attandance Tracker'!$D$3:$AH$50,MATCH($A116,'Attandance Tracker'!$A$3:$A$50,0),DAY($D116))="A","Absent","Leave")),"")</f>
        <v>Present</v>
      </c>
    </row>
    <row r="117" spans="1:9" x14ac:dyDescent="0.25">
      <c r="A117">
        <v>1004</v>
      </c>
      <c r="B117" t="str">
        <f>_xlfn.IFNA(INDEX('Attandance Tracker'!$B$3:$B$30,MATCH($A117,'Attandance Tracker'!$A$3:$A$30,0)),"")</f>
        <v xml:space="preserve"> Priya</v>
      </c>
      <c r="C117" s="14" t="str">
        <f>_xlfn.IFNA(INDEX('Attandance Tracker'!$C$3:$C$30,MATCH($A117,'Attandance Tracker'!$A$3:$A$30,0)),"")</f>
        <v>Finance</v>
      </c>
      <c r="D117" s="14">
        <v>21</v>
      </c>
      <c r="E117" s="7">
        <v>0.375</v>
      </c>
      <c r="F117" s="7">
        <v>0.75</v>
      </c>
      <c r="G117" s="7">
        <f t="shared" si="11"/>
        <v>0.33333333333333331</v>
      </c>
      <c r="H117" s="7">
        <f t="shared" si="12"/>
        <v>4.1666666666666685E-2</v>
      </c>
      <c r="I117" t="str">
        <f>IFERROR(IF(INDEX('Attandance Tracker'!$D$3:$AH$50,MATCH($A117,'Attandance Tracker'!$A$3:$A$50,0),DAY($D117))="P","Present",IF(INDEX('Attandance Tracker'!$D$3:$AH$50,MATCH($A117,'Attandance Tracker'!$A$3:$A$50,0),DAY($D117))="A","Absent","Leave")),"")</f>
        <v>Present</v>
      </c>
    </row>
    <row r="118" spans="1:9" x14ac:dyDescent="0.25">
      <c r="A118">
        <v>1004</v>
      </c>
      <c r="B118" t="str">
        <f>_xlfn.IFNA(INDEX('Attandance Tracker'!$B$3:$B$30,MATCH($A118,'Attandance Tracker'!$A$3:$A$30,0)),"")</f>
        <v xml:space="preserve"> Priya</v>
      </c>
      <c r="C118" s="14" t="str">
        <f>_xlfn.IFNA(INDEX('Attandance Tracker'!$C$3:$C$30,MATCH($A118,'Attandance Tracker'!$A$3:$A$30,0)),"")</f>
        <v>Finance</v>
      </c>
      <c r="D118" s="14">
        <v>22</v>
      </c>
      <c r="E118" s="7">
        <v>0.375</v>
      </c>
      <c r="F118" s="7">
        <v>0.83333333333333337</v>
      </c>
      <c r="G118" s="7">
        <f t="shared" si="11"/>
        <v>0.33333333333333331</v>
      </c>
      <c r="H118" s="7">
        <f t="shared" si="12"/>
        <v>0.12500000000000006</v>
      </c>
      <c r="I118" t="str">
        <f>IFERROR(IF(INDEX('Attandance Tracker'!$D$3:$AH$50,MATCH($A118,'Attandance Tracker'!$A$3:$A$50,0),DAY($D118))="P","Present",IF(INDEX('Attandance Tracker'!$D$3:$AH$50,MATCH($A118,'Attandance Tracker'!$A$3:$A$50,0),DAY($D118))="A","Absent","Leave")),"")</f>
        <v>Present</v>
      </c>
    </row>
    <row r="119" spans="1:9" x14ac:dyDescent="0.25">
      <c r="A119">
        <v>1004</v>
      </c>
      <c r="B119" t="str">
        <f>_xlfn.IFNA(INDEX('Attandance Tracker'!$B$3:$B$30,MATCH($A119,'Attandance Tracker'!$A$3:$A$30,0)),"")</f>
        <v xml:space="preserve"> Priya</v>
      </c>
      <c r="C119" s="14" t="str">
        <f>_xlfn.IFNA(INDEX('Attandance Tracker'!$C$3:$C$30,MATCH($A119,'Attandance Tracker'!$A$3:$A$30,0)),"")</f>
        <v>Finance</v>
      </c>
      <c r="D119" s="14">
        <v>23</v>
      </c>
      <c r="E119" s="7">
        <v>0.33333333333333331</v>
      </c>
      <c r="F119" s="7">
        <v>0.83333333333333337</v>
      </c>
      <c r="G119" s="7">
        <f t="shared" si="11"/>
        <v>0.33333333333333331</v>
      </c>
      <c r="H119" s="7">
        <f t="shared" si="12"/>
        <v>0.16666666666666669</v>
      </c>
      <c r="I119" t="str">
        <f>IFERROR(IF(INDEX('Attandance Tracker'!$D$3:$AH$50,MATCH($A119,'Attandance Tracker'!$A$3:$A$50,0),DAY($D119))="P","Present",IF(INDEX('Attandance Tracker'!$D$3:$AH$50,MATCH($A119,'Attandance Tracker'!$A$3:$A$50,0),DAY($D119))="A","Absent","Leave")),"")</f>
        <v>Present</v>
      </c>
    </row>
    <row r="120" spans="1:9" x14ac:dyDescent="0.25">
      <c r="A120">
        <v>1004</v>
      </c>
      <c r="B120" t="str">
        <f>_xlfn.IFNA(INDEX('Attandance Tracker'!$B$3:$B$30,MATCH($A120,'Attandance Tracker'!$A$3:$A$30,0)),"")</f>
        <v xml:space="preserve"> Priya</v>
      </c>
      <c r="C120" s="14" t="str">
        <f>_xlfn.IFNA(INDEX('Attandance Tracker'!$C$3:$C$30,MATCH($A120,'Attandance Tracker'!$A$3:$A$30,0)),"")</f>
        <v>Finance</v>
      </c>
      <c r="D120" s="14">
        <v>24</v>
      </c>
      <c r="E120" s="7">
        <v>0.33333333333333331</v>
      </c>
      <c r="F120" s="7">
        <v>0.83333333333333337</v>
      </c>
      <c r="G120" s="7">
        <f t="shared" si="11"/>
        <v>0.33333333333333331</v>
      </c>
      <c r="H120" s="7">
        <f t="shared" si="12"/>
        <v>0.16666666666666669</v>
      </c>
      <c r="I120" t="str">
        <f>IFERROR(IF(INDEX('Attandance Tracker'!$D$3:$AH$50,MATCH($A120,'Attandance Tracker'!$A$3:$A$50,0),DAY($D120))="P","Present",IF(INDEX('Attandance Tracker'!$D$3:$AH$50,MATCH($A120,'Attandance Tracker'!$A$3:$A$50,0),DAY($D120))="A","Absent","Leave")),"")</f>
        <v>Present</v>
      </c>
    </row>
    <row r="121" spans="1:9" x14ac:dyDescent="0.25">
      <c r="A121">
        <v>1004</v>
      </c>
      <c r="B121" t="str">
        <f>_xlfn.IFNA(INDEX('Attandance Tracker'!$B$3:$B$30,MATCH($A121,'Attandance Tracker'!$A$3:$A$30,0)),"")</f>
        <v xml:space="preserve"> Priya</v>
      </c>
      <c r="C121" s="14" t="str">
        <f>_xlfn.IFNA(INDEX('Attandance Tracker'!$C$3:$C$30,MATCH($A121,'Attandance Tracker'!$A$3:$A$30,0)),"")</f>
        <v>Finance</v>
      </c>
      <c r="D121" s="14">
        <v>25</v>
      </c>
      <c r="E121" s="7">
        <v>0.33333333333333331</v>
      </c>
      <c r="F121" s="7">
        <v>0.83333333333333337</v>
      </c>
      <c r="G121" s="7">
        <f t="shared" si="11"/>
        <v>0.33333333333333331</v>
      </c>
      <c r="H121" s="7">
        <f t="shared" si="12"/>
        <v>0.16666666666666669</v>
      </c>
      <c r="I121" t="str">
        <f>IFERROR(IF(INDEX('Attandance Tracker'!$D$3:$AH$50,MATCH($A121,'Attandance Tracker'!$A$3:$A$50,0),DAY($D121))="P","Present",IF(INDEX('Attandance Tracker'!$D$3:$AH$50,MATCH($A121,'Attandance Tracker'!$A$3:$A$50,0),DAY($D121))="A","Absent","Leave")),"")</f>
        <v>Present</v>
      </c>
    </row>
    <row r="122" spans="1:9" x14ac:dyDescent="0.25">
      <c r="A122">
        <v>1004</v>
      </c>
      <c r="B122" t="str">
        <f>_xlfn.IFNA(INDEX('Attandance Tracker'!$B$3:$B$30,MATCH($A122,'Attandance Tracker'!$A$3:$A$30,0)),"")</f>
        <v xml:space="preserve"> Priya</v>
      </c>
      <c r="C122" s="14" t="str">
        <f>_xlfn.IFNA(INDEX('Attandance Tracker'!$C$3:$C$30,MATCH($A122,'Attandance Tracker'!$A$3:$A$30,0)),"")</f>
        <v>Finance</v>
      </c>
      <c r="D122" s="14">
        <v>26</v>
      </c>
      <c r="E122" s="7">
        <v>0.33333333333333331</v>
      </c>
      <c r="F122" s="7">
        <v>0.79166666666666663</v>
      </c>
      <c r="G122" s="7">
        <f t="shared" si="11"/>
        <v>0.33333333333333331</v>
      </c>
      <c r="H122" s="7">
        <f t="shared" si="12"/>
        <v>0</v>
      </c>
      <c r="I122" t="str">
        <f>IFERROR(IF(INDEX('Attandance Tracker'!$D$3:$AH$50,MATCH($A122,'Attandance Tracker'!$A$3:$A$50,0),DAY($D122))="P","Present",IF(INDEX('Attandance Tracker'!$D$3:$AH$50,MATCH($A122,'Attandance Tracker'!$A$3:$A$50,0),DAY($D122))="A","Absent","Leave")),"")</f>
        <v>Absent</v>
      </c>
    </row>
    <row r="123" spans="1:9" x14ac:dyDescent="0.25">
      <c r="A123">
        <v>1004</v>
      </c>
      <c r="B123" t="str">
        <f>_xlfn.IFNA(INDEX('Attandance Tracker'!$B$3:$B$30,MATCH($A123,'Attandance Tracker'!$A$3:$A$30,0)),"")</f>
        <v xml:space="preserve"> Priya</v>
      </c>
      <c r="C123" s="14" t="str">
        <f>_xlfn.IFNA(INDEX('Attandance Tracker'!$C$3:$C$30,MATCH($A123,'Attandance Tracker'!$A$3:$A$30,0)),"")</f>
        <v>Finance</v>
      </c>
      <c r="D123" s="14">
        <v>27</v>
      </c>
      <c r="E123" s="7">
        <v>0.33333333333333331</v>
      </c>
      <c r="F123" s="7">
        <v>0.75</v>
      </c>
      <c r="G123" s="7">
        <f t="shared" si="11"/>
        <v>0.33333333333333331</v>
      </c>
      <c r="H123" s="7">
        <f t="shared" si="12"/>
        <v>0</v>
      </c>
      <c r="I123" t="str">
        <f>IFERROR(IF(INDEX('Attandance Tracker'!$D$3:$AH$50,MATCH($A123,'Attandance Tracker'!$A$3:$A$50,0),DAY($D123))="P","Present",IF(INDEX('Attandance Tracker'!$D$3:$AH$50,MATCH($A123,'Attandance Tracker'!$A$3:$A$50,0),DAY($D123))="A","Absent","Leave")),"")</f>
        <v>Absent</v>
      </c>
    </row>
    <row r="124" spans="1:9" x14ac:dyDescent="0.25">
      <c r="A124">
        <v>1004</v>
      </c>
      <c r="B124" t="str">
        <f>_xlfn.IFNA(INDEX('Attandance Tracker'!$B$3:$B$30,MATCH($A124,'Attandance Tracker'!$A$3:$A$30,0)),"")</f>
        <v xml:space="preserve"> Priya</v>
      </c>
      <c r="C124" s="14" t="str">
        <f>_xlfn.IFNA(INDEX('Attandance Tracker'!$C$3:$C$30,MATCH($A124,'Attandance Tracker'!$A$3:$A$30,0)),"")</f>
        <v>Finance</v>
      </c>
      <c r="D124" s="14">
        <v>28</v>
      </c>
      <c r="E124" s="7">
        <v>0.33333333333333331</v>
      </c>
      <c r="F124" s="7">
        <v>0.83333333333333337</v>
      </c>
      <c r="G124" s="7">
        <f t="shared" si="11"/>
        <v>0.33333333333333331</v>
      </c>
      <c r="H124" s="7">
        <f t="shared" si="12"/>
        <v>0.16666666666666669</v>
      </c>
      <c r="I124" t="str">
        <f>IFERROR(IF(INDEX('Attandance Tracker'!$D$3:$AH$50,MATCH($A124,'Attandance Tracker'!$A$3:$A$50,0),DAY($D124))="P","Present",IF(INDEX('Attandance Tracker'!$D$3:$AH$50,MATCH($A124,'Attandance Tracker'!$A$3:$A$50,0),DAY($D124))="A","Absent","Leave")),"")</f>
        <v>Present</v>
      </c>
    </row>
    <row r="125" spans="1:9" x14ac:dyDescent="0.25">
      <c r="A125">
        <v>1004</v>
      </c>
      <c r="B125" t="str">
        <f>_xlfn.IFNA(INDEX('Attandance Tracker'!$B$3:$B$30,MATCH($A125,'Attandance Tracker'!$A$3:$A$30,0)),"")</f>
        <v xml:space="preserve"> Priya</v>
      </c>
      <c r="C125" s="14" t="str">
        <f>_xlfn.IFNA(INDEX('Attandance Tracker'!$C$3:$C$30,MATCH($A125,'Attandance Tracker'!$A$3:$A$30,0)),"")</f>
        <v>Finance</v>
      </c>
      <c r="D125" s="14">
        <v>29</v>
      </c>
      <c r="E125" s="17">
        <v>0.41666666666666669</v>
      </c>
      <c r="F125" s="17">
        <v>0.75</v>
      </c>
      <c r="G125" s="7">
        <f t="shared" si="11"/>
        <v>0.33333333333333331</v>
      </c>
      <c r="H125" s="7">
        <f t="shared" si="12"/>
        <v>0</v>
      </c>
      <c r="I125" t="str">
        <f>IFERROR(IF(INDEX('Attandance Tracker'!$D$3:$AH$50,MATCH($A125,'Attandance Tracker'!$A$3:$A$50,0),DAY($D125))="P","Present",IF(INDEX('Attandance Tracker'!$D$3:$AH$50,MATCH($A125,'Attandance Tracker'!$A$3:$A$50,0),DAY($D125))="A","Absent","Leave")),"")</f>
        <v>Present</v>
      </c>
    </row>
    <row r="126" spans="1:9" x14ac:dyDescent="0.25">
      <c r="A126">
        <v>1004</v>
      </c>
      <c r="B126" t="str">
        <f>_xlfn.IFNA(INDEX('Attandance Tracker'!$B$3:$B$30,MATCH($A126,'Attandance Tracker'!$A$3:$A$30,0)),"")</f>
        <v xml:space="preserve"> Priya</v>
      </c>
      <c r="C126" s="14" t="str">
        <f>_xlfn.IFNA(INDEX('Attandance Tracker'!$C$3:$C$30,MATCH($A126,'Attandance Tracker'!$A$3:$A$30,0)),"")</f>
        <v>Finance</v>
      </c>
      <c r="D126" s="14">
        <v>30</v>
      </c>
      <c r="E126" s="7">
        <v>0.33333333333333331</v>
      </c>
      <c r="F126" s="7">
        <v>0.83333333333333337</v>
      </c>
      <c r="G126" s="7">
        <f t="shared" si="11"/>
        <v>0.33333333333333331</v>
      </c>
      <c r="H126" s="7">
        <f t="shared" si="12"/>
        <v>0.16666666666666669</v>
      </c>
      <c r="I126" t="str">
        <f>IFERROR(IF(INDEX('Attandance Tracker'!$D$3:$AH$50,MATCH($A126,'Attandance Tracker'!$A$3:$A$50,0),DAY($D126))="P","Present",IF(INDEX('Attandance Tracker'!$D$3:$AH$50,MATCH($A126,'Attandance Tracker'!$A$3:$A$50,0),DAY($D126))="A","Absent","Leave")),"")</f>
        <v>Present</v>
      </c>
    </row>
    <row r="127" spans="1:9" x14ac:dyDescent="0.25">
      <c r="A127">
        <v>1004</v>
      </c>
      <c r="B127" t="str">
        <f>_xlfn.IFNA(INDEX('Attandance Tracker'!$B$3:$B$30,MATCH($A127,'Attandance Tracker'!$A$3:$A$30,0)),"")</f>
        <v xml:space="preserve"> Priya</v>
      </c>
      <c r="C127" s="14" t="str">
        <f>_xlfn.IFNA(INDEX('Attandance Tracker'!$C$3:$C$30,MATCH($A127,'Attandance Tracker'!$A$3:$A$30,0)),"")</f>
        <v>Finance</v>
      </c>
      <c r="D127" s="14">
        <v>31</v>
      </c>
      <c r="E127" s="17">
        <v>0.41666666666666669</v>
      </c>
      <c r="F127" s="7">
        <v>0.79166666666666663</v>
      </c>
      <c r="G127" s="7">
        <f t="shared" si="11"/>
        <v>0.33333333333333331</v>
      </c>
      <c r="H127" s="7">
        <f t="shared" si="12"/>
        <v>4.166666666666663E-2</v>
      </c>
      <c r="I127" t="str">
        <f>IFERROR(IF(INDEX('Attandance Tracker'!$D$3:$AH$50,MATCH($A127,'Attandance Tracker'!$A$3:$A$50,0),DAY($D127))="P","Present",IF(INDEX('Attandance Tracker'!$D$3:$AH$50,MATCH($A127,'Attandance Tracker'!$A$3:$A$50,0),DAY($D127))="A","Absent","Leave")),"")</f>
        <v>Present</v>
      </c>
    </row>
    <row r="128" spans="1:9" x14ac:dyDescent="0.25">
      <c r="A128">
        <v>1005</v>
      </c>
      <c r="B128" t="str">
        <f>_xlfn.IFNA(INDEX('Attandance Tracker'!$B$3:$B$30,MATCH($A128,'Attandance Tracker'!$A$3:$A$30,0)),"")</f>
        <v xml:space="preserve"> Rohit</v>
      </c>
      <c r="C128" s="14" t="str">
        <f>_xlfn.IFNA(INDEX('Attandance Tracker'!$C$3:$C$30,MATCH($A128,'Attandance Tracker'!$A$3:$A$30,0)),"")</f>
        <v>IT</v>
      </c>
      <c r="D128" s="10">
        <v>1</v>
      </c>
      <c r="E128" s="7">
        <v>0.375</v>
      </c>
      <c r="F128" s="7">
        <v>0.75</v>
      </c>
      <c r="G128" s="7">
        <f t="shared" si="11"/>
        <v>0.33333333333333331</v>
      </c>
      <c r="H128" s="7">
        <f t="shared" si="12"/>
        <v>4.1666666666666685E-2</v>
      </c>
      <c r="I128" t="str">
        <f>IFERROR(IF(INDEX('Attandance Tracker'!$D$3:$AH$50,MATCH($A128,'Attandance Tracker'!$A$3:$A$50,0),DAY($D128))="P","Present",IF(INDEX('Attandance Tracker'!$D$3:$AH$50,MATCH($A128,'Attandance Tracker'!$A$3:$A$50,0),DAY($D128))="A","Absent","Leave")),"")</f>
        <v>Present</v>
      </c>
    </row>
    <row r="129" spans="1:9" x14ac:dyDescent="0.25">
      <c r="A129">
        <v>1005</v>
      </c>
      <c r="B129" t="str">
        <f>_xlfn.IFNA(INDEX('Attandance Tracker'!$B$3:$B$30,MATCH($A129,'Attandance Tracker'!$A$3:$A$30,0)),"")</f>
        <v xml:space="preserve"> Rohit</v>
      </c>
      <c r="C129" s="14" t="str">
        <f>_xlfn.IFNA(INDEX('Attandance Tracker'!$C$3:$C$30,MATCH($A129,'Attandance Tracker'!$A$3:$A$30,0)),"")</f>
        <v>IT</v>
      </c>
      <c r="D129" s="14">
        <v>2</v>
      </c>
      <c r="E129" s="7">
        <v>0.375</v>
      </c>
      <c r="F129" s="7">
        <v>0.83333333333333337</v>
      </c>
      <c r="G129" s="7">
        <f t="shared" si="11"/>
        <v>0.33333333333333331</v>
      </c>
      <c r="H129" s="7">
        <f t="shared" si="12"/>
        <v>0.12500000000000006</v>
      </c>
      <c r="I129" t="str">
        <f>IFERROR(IF(INDEX('Attandance Tracker'!$D$3:$AH$50,MATCH($A129,'Attandance Tracker'!$A$3:$A$50,0),DAY($D129))="P","Present",IF(INDEX('Attandance Tracker'!$D$3:$AH$50,MATCH($A129,'Attandance Tracker'!$A$3:$A$50,0),DAY($D129))="A","Absent","Leave")),"")</f>
        <v>Present</v>
      </c>
    </row>
    <row r="130" spans="1:9" x14ac:dyDescent="0.25">
      <c r="A130">
        <v>1005</v>
      </c>
      <c r="B130" t="str">
        <f>_xlfn.IFNA(INDEX('Attandance Tracker'!$B$3:$B$30,MATCH($A130,'Attandance Tracker'!$A$3:$A$30,0)),"")</f>
        <v xml:space="preserve"> Rohit</v>
      </c>
      <c r="C130" s="14" t="str">
        <f>_xlfn.IFNA(INDEX('Attandance Tracker'!$C$3:$C$30,MATCH($A130,'Attandance Tracker'!$A$3:$A$30,0)),"")</f>
        <v>IT</v>
      </c>
      <c r="D130" s="14">
        <v>3</v>
      </c>
      <c r="E130" s="7">
        <v>0.33333333333333331</v>
      </c>
      <c r="F130" s="7">
        <v>0.83333333333333337</v>
      </c>
      <c r="G130" s="7">
        <f t="shared" si="11"/>
        <v>0.33333333333333331</v>
      </c>
      <c r="H130" s="7">
        <f t="shared" si="12"/>
        <v>0.16666666666666669</v>
      </c>
      <c r="I130" t="str">
        <f>IFERROR(IF(INDEX('Attandance Tracker'!$D$3:$AH$50,MATCH($A130,'Attandance Tracker'!$A$3:$A$50,0),DAY($D130))="P","Present",IF(INDEX('Attandance Tracker'!$D$3:$AH$50,MATCH($A130,'Attandance Tracker'!$A$3:$A$50,0),DAY($D130))="A","Absent","Leave")),"")</f>
        <v>Present</v>
      </c>
    </row>
    <row r="131" spans="1:9" x14ac:dyDescent="0.25">
      <c r="A131">
        <v>1005</v>
      </c>
      <c r="B131" t="str">
        <f>_xlfn.IFNA(INDEX('Attandance Tracker'!$B$3:$B$30,MATCH($A131,'Attandance Tracker'!$A$3:$A$30,0)),"")</f>
        <v xml:space="preserve"> Rohit</v>
      </c>
      <c r="C131" s="14" t="str">
        <f>_xlfn.IFNA(INDEX('Attandance Tracker'!$C$3:$C$30,MATCH($A131,'Attandance Tracker'!$A$3:$A$30,0)),"")</f>
        <v>IT</v>
      </c>
      <c r="D131" s="14">
        <v>4</v>
      </c>
      <c r="E131" s="7">
        <v>0.33333333333333331</v>
      </c>
      <c r="F131" s="7">
        <v>0.79166666666666663</v>
      </c>
      <c r="G131" s="7">
        <f t="shared" si="11"/>
        <v>0.33333333333333331</v>
      </c>
      <c r="H131" s="7">
        <f t="shared" si="12"/>
        <v>0.125</v>
      </c>
      <c r="I131" t="str">
        <f>IFERROR(IF(INDEX('Attandance Tracker'!$D$3:$AH$50,MATCH($A131,'Attandance Tracker'!$A$3:$A$50,0),DAY($D131))="P","Present",IF(INDEX('Attandance Tracker'!$D$3:$AH$50,MATCH($A131,'Attandance Tracker'!$A$3:$A$50,0),DAY($D131))="A","Absent","Leave")),"")</f>
        <v>Present</v>
      </c>
    </row>
    <row r="132" spans="1:9" x14ac:dyDescent="0.25">
      <c r="A132">
        <v>1005</v>
      </c>
      <c r="B132" t="str">
        <f>_xlfn.IFNA(INDEX('Attandance Tracker'!$B$3:$B$30,MATCH($A132,'Attandance Tracker'!$A$3:$A$30,0)),"")</f>
        <v xml:space="preserve"> Rohit</v>
      </c>
      <c r="C132" s="14" t="str">
        <f>_xlfn.IFNA(INDEX('Attandance Tracker'!$C$3:$C$30,MATCH($A132,'Attandance Tracker'!$A$3:$A$30,0)),"")</f>
        <v>IT</v>
      </c>
      <c r="D132" s="14">
        <v>5</v>
      </c>
      <c r="E132" s="7">
        <v>0.33333333333333331</v>
      </c>
      <c r="F132" s="7">
        <v>0.83333333333333337</v>
      </c>
      <c r="G132" s="7">
        <f t="shared" si="11"/>
        <v>0.33333333333333331</v>
      </c>
      <c r="H132" s="7">
        <f t="shared" si="12"/>
        <v>0.16666666666666669</v>
      </c>
      <c r="I132" t="str">
        <f>IFERROR(IF(INDEX('Attandance Tracker'!$D$3:$AH$50,MATCH($A132,'Attandance Tracker'!$A$3:$A$50,0),DAY($D132))="P","Present",IF(INDEX('Attandance Tracker'!$D$3:$AH$50,MATCH($A132,'Attandance Tracker'!$A$3:$A$50,0),DAY($D132))="A","Absent","Leave")),"")</f>
        <v>Present</v>
      </c>
    </row>
    <row r="133" spans="1:9" x14ac:dyDescent="0.25">
      <c r="A133">
        <v>1005</v>
      </c>
      <c r="B133" t="str">
        <f>_xlfn.IFNA(INDEX('Attandance Tracker'!$B$3:$B$30,MATCH($A133,'Attandance Tracker'!$A$3:$A$30,0)),"")</f>
        <v xml:space="preserve"> Rohit</v>
      </c>
      <c r="C133" s="14" t="str">
        <f>_xlfn.IFNA(INDEX('Attandance Tracker'!$C$3:$C$30,MATCH($A133,'Attandance Tracker'!$A$3:$A$30,0)),"")</f>
        <v>IT</v>
      </c>
      <c r="D133" s="14">
        <v>6</v>
      </c>
      <c r="E133" s="7">
        <v>0.33333333333333331</v>
      </c>
      <c r="F133" s="7">
        <v>0.83333333333333337</v>
      </c>
      <c r="G133" s="7">
        <f t="shared" ref="G133:G196" si="13">IF(I133="Present",MIN(F133-E133,8/24),IF(I133="Absent",8/24,0))</f>
        <v>0.33333333333333331</v>
      </c>
      <c r="H133" s="7">
        <f t="shared" ref="H133:H196" si="14">IF(I133="Present",MAX(0,F133-E133-8/24),0)</f>
        <v>0.16666666666666669</v>
      </c>
      <c r="I133" t="str">
        <f>IFERROR(IF(INDEX('Attandance Tracker'!$D$3:$AH$50,MATCH($A133,'Attandance Tracker'!$A$3:$A$50,0),DAY($D133))="P","Present",IF(INDEX('Attandance Tracker'!$D$3:$AH$50,MATCH($A133,'Attandance Tracker'!$A$3:$A$50,0),DAY($D133))="A","Absent","Leave")),"")</f>
        <v>Present</v>
      </c>
    </row>
    <row r="134" spans="1:9" x14ac:dyDescent="0.25">
      <c r="A134">
        <v>1005</v>
      </c>
      <c r="B134" t="str">
        <f>_xlfn.IFNA(INDEX('Attandance Tracker'!$B$3:$B$30,MATCH($A134,'Attandance Tracker'!$A$3:$A$30,0)),"")</f>
        <v xml:space="preserve"> Rohit</v>
      </c>
      <c r="C134" s="14" t="str">
        <f>_xlfn.IFNA(INDEX('Attandance Tracker'!$C$3:$C$30,MATCH($A134,'Attandance Tracker'!$A$3:$A$30,0)),"")</f>
        <v>IT</v>
      </c>
      <c r="D134" s="14">
        <v>7</v>
      </c>
      <c r="E134" s="7">
        <v>0.33333333333333331</v>
      </c>
      <c r="F134" s="7">
        <v>0.79166666666666663</v>
      </c>
      <c r="G134" s="7">
        <f t="shared" si="13"/>
        <v>0.33333333333333331</v>
      </c>
      <c r="H134" s="7">
        <f t="shared" si="14"/>
        <v>0.125</v>
      </c>
      <c r="I134" t="str">
        <f>IFERROR(IF(INDEX('Attandance Tracker'!$D$3:$AH$50,MATCH($A134,'Attandance Tracker'!$A$3:$A$50,0),DAY($D134))="P","Present",IF(INDEX('Attandance Tracker'!$D$3:$AH$50,MATCH($A134,'Attandance Tracker'!$A$3:$A$50,0),DAY($D134))="A","Absent","Leave")),"")</f>
        <v>Present</v>
      </c>
    </row>
    <row r="135" spans="1:9" x14ac:dyDescent="0.25">
      <c r="A135">
        <v>1005</v>
      </c>
      <c r="B135" t="str">
        <f>_xlfn.IFNA(INDEX('Attandance Tracker'!$B$3:$B$30,MATCH($A135,'Attandance Tracker'!$A$3:$A$30,0)),"")</f>
        <v xml:space="preserve"> Rohit</v>
      </c>
      <c r="C135" s="14" t="str">
        <f>_xlfn.IFNA(INDEX('Attandance Tracker'!$C$3:$C$30,MATCH($A135,'Attandance Tracker'!$A$3:$A$30,0)),"")</f>
        <v>IT</v>
      </c>
      <c r="D135" s="14">
        <v>8</v>
      </c>
      <c r="E135" s="7">
        <v>0.33333333333333331</v>
      </c>
      <c r="F135" s="7">
        <v>0.83333333333333337</v>
      </c>
      <c r="G135" s="7">
        <f t="shared" si="13"/>
        <v>0.33333333333333331</v>
      </c>
      <c r="H135" s="7">
        <f t="shared" si="14"/>
        <v>0.16666666666666669</v>
      </c>
      <c r="I135" t="str">
        <f>IFERROR(IF(INDEX('Attandance Tracker'!$D$3:$AH$50,MATCH($A135,'Attandance Tracker'!$A$3:$A$50,0),DAY($D135))="P","Present",IF(INDEX('Attandance Tracker'!$D$3:$AH$50,MATCH($A135,'Attandance Tracker'!$A$3:$A$50,0),DAY($D135))="A","Absent","Leave")),"")</f>
        <v>Present</v>
      </c>
    </row>
    <row r="136" spans="1:9" x14ac:dyDescent="0.25">
      <c r="A136">
        <v>1005</v>
      </c>
      <c r="B136" t="str">
        <f>_xlfn.IFNA(INDEX('Attandance Tracker'!$B$3:$B$30,MATCH($A136,'Attandance Tracker'!$A$3:$A$30,0)),"")</f>
        <v xml:space="preserve"> Rohit</v>
      </c>
      <c r="C136" s="14" t="str">
        <f>_xlfn.IFNA(INDEX('Attandance Tracker'!$C$3:$C$30,MATCH($A136,'Attandance Tracker'!$A$3:$A$30,0)),"")</f>
        <v>IT</v>
      </c>
      <c r="D136" s="14">
        <v>9</v>
      </c>
      <c r="E136" s="7">
        <v>0.375</v>
      </c>
      <c r="F136" s="7">
        <v>0.79166666666666663</v>
      </c>
      <c r="G136" s="7">
        <f t="shared" si="13"/>
        <v>0.33333333333333331</v>
      </c>
      <c r="H136" s="7">
        <f t="shared" si="14"/>
        <v>8.3333333333333315E-2</v>
      </c>
      <c r="I136" t="str">
        <f>IFERROR(IF(INDEX('Attandance Tracker'!$D$3:$AH$50,MATCH($A136,'Attandance Tracker'!$A$3:$A$50,0),DAY($D136))="P","Present",IF(INDEX('Attandance Tracker'!$D$3:$AH$50,MATCH($A136,'Attandance Tracker'!$A$3:$A$50,0),DAY($D136))="A","Absent","Leave")),"")</f>
        <v>Present</v>
      </c>
    </row>
    <row r="137" spans="1:9" x14ac:dyDescent="0.25">
      <c r="A137">
        <v>1005</v>
      </c>
      <c r="B137" t="str">
        <f>_xlfn.IFNA(INDEX('Attandance Tracker'!$B$3:$B$30,MATCH($A137,'Attandance Tracker'!$A$3:$A$30,0)),"")</f>
        <v xml:space="preserve"> Rohit</v>
      </c>
      <c r="C137" s="14" t="str">
        <f>_xlfn.IFNA(INDEX('Attandance Tracker'!$C$3:$C$30,MATCH($A137,'Attandance Tracker'!$A$3:$A$30,0)),"")</f>
        <v>IT</v>
      </c>
      <c r="D137" s="14">
        <v>10</v>
      </c>
      <c r="E137" s="7">
        <v>0.375</v>
      </c>
      <c r="F137" s="7">
        <v>0.75</v>
      </c>
      <c r="G137" s="7">
        <f t="shared" si="13"/>
        <v>0.33333333333333331</v>
      </c>
      <c r="H137" s="7">
        <f t="shared" si="14"/>
        <v>4.1666666666666685E-2</v>
      </c>
      <c r="I137" t="str">
        <f>IFERROR(IF(INDEX('Attandance Tracker'!$D$3:$AH$50,MATCH($A137,'Attandance Tracker'!$A$3:$A$50,0),DAY($D137))="P","Present",IF(INDEX('Attandance Tracker'!$D$3:$AH$50,MATCH($A137,'Attandance Tracker'!$A$3:$A$50,0),DAY($D137))="A","Absent","Leave")),"")</f>
        <v>Present</v>
      </c>
    </row>
    <row r="138" spans="1:9" x14ac:dyDescent="0.25">
      <c r="A138">
        <v>1005</v>
      </c>
      <c r="B138" t="str">
        <f>_xlfn.IFNA(INDEX('Attandance Tracker'!$B$3:$B$30,MATCH($A138,'Attandance Tracker'!$A$3:$A$30,0)),"")</f>
        <v xml:space="preserve"> Rohit</v>
      </c>
      <c r="C138" s="14" t="str">
        <f>_xlfn.IFNA(INDEX('Attandance Tracker'!$C$3:$C$30,MATCH($A138,'Attandance Tracker'!$A$3:$A$30,0)),"")</f>
        <v>IT</v>
      </c>
      <c r="D138" s="14">
        <v>11</v>
      </c>
      <c r="E138" s="7">
        <v>0.33333333333333331</v>
      </c>
      <c r="F138" s="7">
        <v>0.83333333333333337</v>
      </c>
      <c r="G138" s="7">
        <f t="shared" si="13"/>
        <v>0.33333333333333331</v>
      </c>
      <c r="H138" s="7">
        <f t="shared" si="14"/>
        <v>0.16666666666666669</v>
      </c>
      <c r="I138" t="str">
        <f>IFERROR(IF(INDEX('Attandance Tracker'!$D$3:$AH$50,MATCH($A138,'Attandance Tracker'!$A$3:$A$50,0),DAY($D138))="P","Present",IF(INDEX('Attandance Tracker'!$D$3:$AH$50,MATCH($A138,'Attandance Tracker'!$A$3:$A$50,0),DAY($D138))="A","Absent","Leave")),"")</f>
        <v>Present</v>
      </c>
    </row>
    <row r="139" spans="1:9" x14ac:dyDescent="0.25">
      <c r="A139">
        <v>1005</v>
      </c>
      <c r="B139" t="str">
        <f>_xlfn.IFNA(INDEX('Attandance Tracker'!$B$3:$B$30,MATCH($A139,'Attandance Tracker'!$A$3:$A$30,0)),"")</f>
        <v xml:space="preserve"> Rohit</v>
      </c>
      <c r="C139" s="14" t="str">
        <f>_xlfn.IFNA(INDEX('Attandance Tracker'!$C$3:$C$30,MATCH($A139,'Attandance Tracker'!$A$3:$A$30,0)),"")</f>
        <v>IT</v>
      </c>
      <c r="D139" s="14">
        <v>12</v>
      </c>
      <c r="E139" s="7">
        <v>0.33333333333333331</v>
      </c>
      <c r="F139" s="7">
        <v>0.75</v>
      </c>
      <c r="G139" s="7">
        <f t="shared" si="13"/>
        <v>0.33333333333333331</v>
      </c>
      <c r="H139" s="7">
        <f t="shared" si="14"/>
        <v>8.333333333333337E-2</v>
      </c>
      <c r="I139" t="str">
        <f>IFERROR(IF(INDEX('Attandance Tracker'!$D$3:$AH$50,MATCH($A139,'Attandance Tracker'!$A$3:$A$50,0),DAY($D139))="P","Present",IF(INDEX('Attandance Tracker'!$D$3:$AH$50,MATCH($A139,'Attandance Tracker'!$A$3:$A$50,0),DAY($D139))="A","Absent","Leave")),"")</f>
        <v>Present</v>
      </c>
    </row>
    <row r="140" spans="1:9" x14ac:dyDescent="0.25">
      <c r="A140">
        <v>1005</v>
      </c>
      <c r="B140" t="str">
        <f>_xlfn.IFNA(INDEX('Attandance Tracker'!$B$3:$B$30,MATCH($A140,'Attandance Tracker'!$A$3:$A$30,0)),"")</f>
        <v xml:space="preserve"> Rohit</v>
      </c>
      <c r="C140" s="14" t="str">
        <f>_xlfn.IFNA(INDEX('Attandance Tracker'!$C$3:$C$30,MATCH($A140,'Attandance Tracker'!$A$3:$A$30,0)),"")</f>
        <v>IT</v>
      </c>
      <c r="D140" s="14">
        <v>13</v>
      </c>
      <c r="E140" s="7">
        <v>0.33333333333333331</v>
      </c>
      <c r="F140" s="7">
        <v>0.83333333333333337</v>
      </c>
      <c r="G140" s="7">
        <f t="shared" si="13"/>
        <v>0.33333333333333331</v>
      </c>
      <c r="H140" s="7">
        <f t="shared" si="14"/>
        <v>0.16666666666666669</v>
      </c>
      <c r="I140" t="str">
        <f>IFERROR(IF(INDEX('Attandance Tracker'!$D$3:$AH$50,MATCH($A140,'Attandance Tracker'!$A$3:$A$50,0),DAY($D140))="P","Present",IF(INDEX('Attandance Tracker'!$D$3:$AH$50,MATCH($A140,'Attandance Tracker'!$A$3:$A$50,0),DAY($D140))="A","Absent","Leave")),"")</f>
        <v>Present</v>
      </c>
    </row>
    <row r="141" spans="1:9" x14ac:dyDescent="0.25">
      <c r="A141">
        <v>1005</v>
      </c>
      <c r="B141" t="str">
        <f>_xlfn.IFNA(INDEX('Attandance Tracker'!$B$3:$B$30,MATCH($A141,'Attandance Tracker'!$A$3:$A$30,0)),"")</f>
        <v xml:space="preserve"> Rohit</v>
      </c>
      <c r="C141" s="14" t="str">
        <f>_xlfn.IFNA(INDEX('Attandance Tracker'!$C$3:$C$30,MATCH($A141,'Attandance Tracker'!$A$3:$A$30,0)),"")</f>
        <v>IT</v>
      </c>
      <c r="D141" s="14">
        <v>14</v>
      </c>
      <c r="E141" s="7">
        <v>0.33333333333333331</v>
      </c>
      <c r="F141" s="7">
        <v>0.83333333333333337</v>
      </c>
      <c r="G141" s="7">
        <f t="shared" si="13"/>
        <v>0.33333333333333331</v>
      </c>
      <c r="H141" s="7">
        <f t="shared" si="14"/>
        <v>0.16666666666666669</v>
      </c>
      <c r="I141" t="str">
        <f>IFERROR(IF(INDEX('Attandance Tracker'!$D$3:$AH$50,MATCH($A141,'Attandance Tracker'!$A$3:$A$50,0),DAY($D141))="P","Present",IF(INDEX('Attandance Tracker'!$D$3:$AH$50,MATCH($A141,'Attandance Tracker'!$A$3:$A$50,0),DAY($D141))="A","Absent","Leave")),"")</f>
        <v>Present</v>
      </c>
    </row>
    <row r="142" spans="1:9" x14ac:dyDescent="0.25">
      <c r="A142">
        <v>1005</v>
      </c>
      <c r="B142" t="str">
        <f>_xlfn.IFNA(INDEX('Attandance Tracker'!$B$3:$B$30,MATCH($A142,'Attandance Tracker'!$A$3:$A$30,0)),"")</f>
        <v xml:space="preserve"> Rohit</v>
      </c>
      <c r="C142" s="14" t="str">
        <f>_xlfn.IFNA(INDEX('Attandance Tracker'!$C$3:$C$30,MATCH($A142,'Attandance Tracker'!$A$3:$A$30,0)),"")</f>
        <v>IT</v>
      </c>
      <c r="D142" s="14">
        <v>15</v>
      </c>
      <c r="E142" s="7">
        <v>0.33333333333333331</v>
      </c>
      <c r="F142" s="7">
        <v>0.79166666666666663</v>
      </c>
      <c r="G142" s="7">
        <f t="shared" si="13"/>
        <v>0.33333333333333331</v>
      </c>
      <c r="H142" s="7">
        <f t="shared" si="14"/>
        <v>0.125</v>
      </c>
      <c r="I142" t="str">
        <f>IFERROR(IF(INDEX('Attandance Tracker'!$D$3:$AH$50,MATCH($A142,'Attandance Tracker'!$A$3:$A$50,0),DAY($D142))="P","Present",IF(INDEX('Attandance Tracker'!$D$3:$AH$50,MATCH($A142,'Attandance Tracker'!$A$3:$A$50,0),DAY($D142))="A","Absent","Leave")),"")</f>
        <v>Present</v>
      </c>
    </row>
    <row r="143" spans="1:9" x14ac:dyDescent="0.25">
      <c r="A143">
        <v>1005</v>
      </c>
      <c r="B143" t="str">
        <f>_xlfn.IFNA(INDEX('Attandance Tracker'!$B$3:$B$30,MATCH($A143,'Attandance Tracker'!$A$3:$A$30,0)),"")</f>
        <v xml:space="preserve"> Rohit</v>
      </c>
      <c r="C143" s="14" t="str">
        <f>_xlfn.IFNA(INDEX('Attandance Tracker'!$C$3:$C$30,MATCH($A143,'Attandance Tracker'!$A$3:$A$30,0)),"")</f>
        <v>IT</v>
      </c>
      <c r="D143" s="14">
        <v>16</v>
      </c>
      <c r="E143" s="7">
        <v>0.375</v>
      </c>
      <c r="F143" s="7">
        <v>0.83333333333333337</v>
      </c>
      <c r="G143" s="7">
        <f t="shared" si="13"/>
        <v>0.33333333333333331</v>
      </c>
      <c r="H143" s="7">
        <f t="shared" si="14"/>
        <v>0.12500000000000006</v>
      </c>
      <c r="I143" t="str">
        <f>IFERROR(IF(INDEX('Attandance Tracker'!$D$3:$AH$50,MATCH($A143,'Attandance Tracker'!$A$3:$A$50,0),DAY($D143))="P","Present",IF(INDEX('Attandance Tracker'!$D$3:$AH$50,MATCH($A143,'Attandance Tracker'!$A$3:$A$50,0),DAY($D143))="A","Absent","Leave")),"")</f>
        <v>Present</v>
      </c>
    </row>
    <row r="144" spans="1:9" x14ac:dyDescent="0.25">
      <c r="A144">
        <v>1005</v>
      </c>
      <c r="B144" t="str">
        <f>_xlfn.IFNA(INDEX('Attandance Tracker'!$B$3:$B$30,MATCH($A144,'Attandance Tracker'!$A$3:$A$30,0)),"")</f>
        <v xml:space="preserve"> Rohit</v>
      </c>
      <c r="C144" s="14" t="str">
        <f>_xlfn.IFNA(INDEX('Attandance Tracker'!$C$3:$C$30,MATCH($A144,'Attandance Tracker'!$A$3:$A$30,0)),"")</f>
        <v>IT</v>
      </c>
      <c r="D144" s="14">
        <v>17</v>
      </c>
      <c r="E144" s="7">
        <v>0.375</v>
      </c>
      <c r="F144" s="7">
        <v>0.83333333333333337</v>
      </c>
      <c r="G144" s="7">
        <f t="shared" si="13"/>
        <v>0.33333333333333331</v>
      </c>
      <c r="H144" s="7">
        <f t="shared" si="14"/>
        <v>0.12500000000000006</v>
      </c>
      <c r="I144" t="str">
        <f>IFERROR(IF(INDEX('Attandance Tracker'!$D$3:$AH$50,MATCH($A144,'Attandance Tracker'!$A$3:$A$50,0),DAY($D144))="P","Present",IF(INDEX('Attandance Tracker'!$D$3:$AH$50,MATCH($A144,'Attandance Tracker'!$A$3:$A$50,0),DAY($D144))="A","Absent","Leave")),"")</f>
        <v>Present</v>
      </c>
    </row>
    <row r="145" spans="1:9" x14ac:dyDescent="0.25">
      <c r="A145">
        <v>1005</v>
      </c>
      <c r="B145" t="str">
        <f>_xlfn.IFNA(INDEX('Attandance Tracker'!$B$3:$B$30,MATCH($A145,'Attandance Tracker'!$A$3:$A$30,0)),"")</f>
        <v xml:space="preserve"> Rohit</v>
      </c>
      <c r="C145" s="14" t="str">
        <f>_xlfn.IFNA(INDEX('Attandance Tracker'!$C$3:$C$30,MATCH($A145,'Attandance Tracker'!$A$3:$A$30,0)),"")</f>
        <v>IT</v>
      </c>
      <c r="D145" s="14">
        <v>18</v>
      </c>
      <c r="E145" s="7">
        <v>0.33333333333333331</v>
      </c>
      <c r="F145" s="7">
        <v>0.79166666666666663</v>
      </c>
      <c r="G145" s="7">
        <f t="shared" si="13"/>
        <v>0.33333333333333331</v>
      </c>
      <c r="H145" s="7">
        <f t="shared" si="14"/>
        <v>0.125</v>
      </c>
      <c r="I145" t="str">
        <f>IFERROR(IF(INDEX('Attandance Tracker'!$D$3:$AH$50,MATCH($A145,'Attandance Tracker'!$A$3:$A$50,0),DAY($D145))="P","Present",IF(INDEX('Attandance Tracker'!$D$3:$AH$50,MATCH($A145,'Attandance Tracker'!$A$3:$A$50,0),DAY($D145))="A","Absent","Leave")),"")</f>
        <v>Present</v>
      </c>
    </row>
    <row r="146" spans="1:9" x14ac:dyDescent="0.25">
      <c r="A146">
        <v>1005</v>
      </c>
      <c r="B146" t="str">
        <f>_xlfn.IFNA(INDEX('Attandance Tracker'!$B$3:$B$30,MATCH($A146,'Attandance Tracker'!$A$3:$A$30,0)),"")</f>
        <v xml:space="preserve"> Rohit</v>
      </c>
      <c r="C146" s="14" t="str">
        <f>_xlfn.IFNA(INDEX('Attandance Tracker'!$C$3:$C$30,MATCH($A146,'Attandance Tracker'!$A$3:$A$30,0)),"")</f>
        <v>IT</v>
      </c>
      <c r="D146" s="14">
        <v>19</v>
      </c>
      <c r="E146" s="7">
        <v>0.33333333333333331</v>
      </c>
      <c r="F146" s="7">
        <v>0.83333333333333337</v>
      </c>
      <c r="G146" s="7">
        <f t="shared" si="13"/>
        <v>0.33333333333333331</v>
      </c>
      <c r="H146" s="7">
        <f t="shared" si="14"/>
        <v>0.16666666666666669</v>
      </c>
      <c r="I146" t="str">
        <f>IFERROR(IF(INDEX('Attandance Tracker'!$D$3:$AH$50,MATCH($A146,'Attandance Tracker'!$A$3:$A$50,0),DAY($D146))="P","Present",IF(INDEX('Attandance Tracker'!$D$3:$AH$50,MATCH($A146,'Attandance Tracker'!$A$3:$A$50,0),DAY($D146))="A","Absent","Leave")),"")</f>
        <v>Present</v>
      </c>
    </row>
    <row r="147" spans="1:9" x14ac:dyDescent="0.25">
      <c r="A147">
        <v>1005</v>
      </c>
      <c r="B147" t="str">
        <f>_xlfn.IFNA(INDEX('Attandance Tracker'!$B$3:$B$30,MATCH($A147,'Attandance Tracker'!$A$3:$A$30,0)),"")</f>
        <v xml:space="preserve"> Rohit</v>
      </c>
      <c r="C147" s="14" t="str">
        <f>_xlfn.IFNA(INDEX('Attandance Tracker'!$C$3:$C$30,MATCH($A147,'Attandance Tracker'!$A$3:$A$30,0)),"")</f>
        <v>IT</v>
      </c>
      <c r="D147" s="14">
        <v>20</v>
      </c>
      <c r="E147" s="7">
        <v>0.33333333333333331</v>
      </c>
      <c r="F147" s="7">
        <v>0.79166666666666663</v>
      </c>
      <c r="G147" s="7">
        <f t="shared" si="13"/>
        <v>0.33333333333333331</v>
      </c>
      <c r="H147" s="7">
        <f t="shared" si="14"/>
        <v>0.125</v>
      </c>
      <c r="I147" t="str">
        <f>IFERROR(IF(INDEX('Attandance Tracker'!$D$3:$AH$50,MATCH($A147,'Attandance Tracker'!$A$3:$A$50,0),DAY($D147))="P","Present",IF(INDEX('Attandance Tracker'!$D$3:$AH$50,MATCH($A147,'Attandance Tracker'!$A$3:$A$50,0),DAY($D147))="A","Absent","Leave")),"")</f>
        <v>Present</v>
      </c>
    </row>
    <row r="148" spans="1:9" x14ac:dyDescent="0.25">
      <c r="A148">
        <v>1005</v>
      </c>
      <c r="B148" t="str">
        <f>_xlfn.IFNA(INDEX('Attandance Tracker'!$B$3:$B$30,MATCH($A148,'Attandance Tracker'!$A$3:$A$30,0)),"")</f>
        <v xml:space="preserve"> Rohit</v>
      </c>
      <c r="C148" s="14" t="str">
        <f>_xlfn.IFNA(INDEX('Attandance Tracker'!$C$3:$C$30,MATCH($A148,'Attandance Tracker'!$A$3:$A$30,0)),"")</f>
        <v>IT</v>
      </c>
      <c r="D148" s="14">
        <v>21</v>
      </c>
      <c r="E148" s="7">
        <v>0.33333333333333331</v>
      </c>
      <c r="F148" s="7">
        <v>0.75</v>
      </c>
      <c r="G148" s="7">
        <f t="shared" si="13"/>
        <v>0.33333333333333331</v>
      </c>
      <c r="H148" s="7">
        <f t="shared" si="14"/>
        <v>8.333333333333337E-2</v>
      </c>
      <c r="I148" t="str">
        <f>IFERROR(IF(INDEX('Attandance Tracker'!$D$3:$AH$50,MATCH($A148,'Attandance Tracker'!$A$3:$A$50,0),DAY($D148))="P","Present",IF(INDEX('Attandance Tracker'!$D$3:$AH$50,MATCH($A148,'Attandance Tracker'!$A$3:$A$50,0),DAY($D148))="A","Absent","Leave")),"")</f>
        <v>Present</v>
      </c>
    </row>
    <row r="149" spans="1:9" x14ac:dyDescent="0.25">
      <c r="A149">
        <v>1005</v>
      </c>
      <c r="B149" t="str">
        <f>_xlfn.IFNA(INDEX('Attandance Tracker'!$B$3:$B$30,MATCH($A149,'Attandance Tracker'!$A$3:$A$30,0)),"")</f>
        <v xml:space="preserve"> Rohit</v>
      </c>
      <c r="C149" s="14" t="str">
        <f>_xlfn.IFNA(INDEX('Attandance Tracker'!$C$3:$C$30,MATCH($A149,'Attandance Tracker'!$A$3:$A$30,0)),"")</f>
        <v>IT</v>
      </c>
      <c r="D149" s="14">
        <v>22</v>
      </c>
      <c r="E149" s="7">
        <v>0.33333333333333331</v>
      </c>
      <c r="F149" s="7">
        <v>0.83333333333333337</v>
      </c>
      <c r="G149" s="7">
        <f t="shared" si="13"/>
        <v>0.33333333333333331</v>
      </c>
      <c r="H149" s="7">
        <f t="shared" si="14"/>
        <v>0.16666666666666669</v>
      </c>
      <c r="I149" t="str">
        <f>IFERROR(IF(INDEX('Attandance Tracker'!$D$3:$AH$50,MATCH($A149,'Attandance Tracker'!$A$3:$A$50,0),DAY($D149))="P","Present",IF(INDEX('Attandance Tracker'!$D$3:$AH$50,MATCH($A149,'Attandance Tracker'!$A$3:$A$50,0),DAY($D149))="A","Absent","Leave")),"")</f>
        <v>Present</v>
      </c>
    </row>
    <row r="150" spans="1:9" x14ac:dyDescent="0.25">
      <c r="A150">
        <v>1005</v>
      </c>
      <c r="B150" t="str">
        <f>_xlfn.IFNA(INDEX('Attandance Tracker'!$B$3:$B$30,MATCH($A150,'Attandance Tracker'!$A$3:$A$30,0)),"")</f>
        <v xml:space="preserve"> Rohit</v>
      </c>
      <c r="C150" s="14" t="str">
        <f>_xlfn.IFNA(INDEX('Attandance Tracker'!$C$3:$C$30,MATCH($A150,'Attandance Tracker'!$A$3:$A$30,0)),"")</f>
        <v>IT</v>
      </c>
      <c r="D150" s="14">
        <v>23</v>
      </c>
      <c r="E150" s="7">
        <v>0.33333333333333331</v>
      </c>
      <c r="F150" s="7">
        <v>0.83333333333333337</v>
      </c>
      <c r="G150" s="7">
        <f t="shared" si="13"/>
        <v>0.33333333333333331</v>
      </c>
      <c r="H150" s="7">
        <f t="shared" si="14"/>
        <v>0.16666666666666669</v>
      </c>
      <c r="I150" t="str">
        <f>IFERROR(IF(INDEX('Attandance Tracker'!$D$3:$AH$50,MATCH($A150,'Attandance Tracker'!$A$3:$A$50,0),DAY($D150))="P","Present",IF(INDEX('Attandance Tracker'!$D$3:$AH$50,MATCH($A150,'Attandance Tracker'!$A$3:$A$50,0),DAY($D150))="A","Absent","Leave")),"")</f>
        <v>Present</v>
      </c>
    </row>
    <row r="151" spans="1:9" x14ac:dyDescent="0.25">
      <c r="A151">
        <v>1005</v>
      </c>
      <c r="B151" t="str">
        <f>_xlfn.IFNA(INDEX('Attandance Tracker'!$B$3:$B$30,MATCH($A151,'Attandance Tracker'!$A$3:$A$30,0)),"")</f>
        <v xml:space="preserve"> Rohit</v>
      </c>
      <c r="C151" s="14" t="str">
        <f>_xlfn.IFNA(INDEX('Attandance Tracker'!$C$3:$C$30,MATCH($A151,'Attandance Tracker'!$A$3:$A$30,0)),"")</f>
        <v>IT</v>
      </c>
      <c r="D151" s="14">
        <v>24</v>
      </c>
      <c r="E151" s="7">
        <v>0.375</v>
      </c>
      <c r="F151" s="7">
        <v>0.79166666666666663</v>
      </c>
      <c r="G151" s="7">
        <f t="shared" si="13"/>
        <v>0.33333333333333331</v>
      </c>
      <c r="H151" s="7">
        <f t="shared" si="14"/>
        <v>8.3333333333333315E-2</v>
      </c>
      <c r="I151" t="str">
        <f>IFERROR(IF(INDEX('Attandance Tracker'!$D$3:$AH$50,MATCH($A151,'Attandance Tracker'!$A$3:$A$50,0),DAY($D151))="P","Present",IF(INDEX('Attandance Tracker'!$D$3:$AH$50,MATCH($A151,'Attandance Tracker'!$A$3:$A$50,0),DAY($D151))="A","Absent","Leave")),"")</f>
        <v>Present</v>
      </c>
    </row>
    <row r="152" spans="1:9" x14ac:dyDescent="0.25">
      <c r="A152">
        <v>1005</v>
      </c>
      <c r="B152" t="str">
        <f>_xlfn.IFNA(INDEX('Attandance Tracker'!$B$3:$B$30,MATCH($A152,'Attandance Tracker'!$A$3:$A$30,0)),"")</f>
        <v xml:space="preserve"> Rohit</v>
      </c>
      <c r="C152" s="14" t="str">
        <f>_xlfn.IFNA(INDEX('Attandance Tracker'!$C$3:$C$30,MATCH($A152,'Attandance Tracker'!$A$3:$A$30,0)),"")</f>
        <v>IT</v>
      </c>
      <c r="D152" s="14">
        <v>25</v>
      </c>
      <c r="E152" s="7">
        <v>0.375</v>
      </c>
      <c r="F152" s="7">
        <v>0.83333333333333337</v>
      </c>
      <c r="G152" s="7">
        <f t="shared" si="13"/>
        <v>0.33333333333333331</v>
      </c>
      <c r="H152" s="7">
        <f t="shared" si="14"/>
        <v>0.12500000000000006</v>
      </c>
      <c r="I152" t="str">
        <f>IFERROR(IF(INDEX('Attandance Tracker'!$D$3:$AH$50,MATCH($A152,'Attandance Tracker'!$A$3:$A$50,0),DAY($D152))="P","Present",IF(INDEX('Attandance Tracker'!$D$3:$AH$50,MATCH($A152,'Attandance Tracker'!$A$3:$A$50,0),DAY($D152))="A","Absent","Leave")),"")</f>
        <v>Present</v>
      </c>
    </row>
    <row r="153" spans="1:9" x14ac:dyDescent="0.25">
      <c r="A153">
        <v>1005</v>
      </c>
      <c r="B153" t="str">
        <f>_xlfn.IFNA(INDEX('Attandance Tracker'!$B$3:$B$30,MATCH($A153,'Attandance Tracker'!$A$3:$A$30,0)),"")</f>
        <v xml:space="preserve"> Rohit</v>
      </c>
      <c r="C153" s="14" t="str">
        <f>_xlfn.IFNA(INDEX('Attandance Tracker'!$C$3:$C$30,MATCH($A153,'Attandance Tracker'!$A$3:$A$30,0)),"")</f>
        <v>IT</v>
      </c>
      <c r="D153" s="14">
        <v>26</v>
      </c>
      <c r="E153" s="7">
        <v>0.33333333333333331</v>
      </c>
      <c r="F153" s="7">
        <v>0.79166666666666663</v>
      </c>
      <c r="G153" s="7">
        <f t="shared" si="13"/>
        <v>0.33333333333333331</v>
      </c>
      <c r="H153" s="7">
        <f t="shared" si="14"/>
        <v>0.125</v>
      </c>
      <c r="I153" t="str">
        <f>IFERROR(IF(INDEX('Attandance Tracker'!$D$3:$AH$50,MATCH($A153,'Attandance Tracker'!$A$3:$A$50,0),DAY($D153))="P","Present",IF(INDEX('Attandance Tracker'!$D$3:$AH$50,MATCH($A153,'Attandance Tracker'!$A$3:$A$50,0),DAY($D153))="A","Absent","Leave")),"")</f>
        <v>Present</v>
      </c>
    </row>
    <row r="154" spans="1:9" x14ac:dyDescent="0.25">
      <c r="A154">
        <v>1005</v>
      </c>
      <c r="B154" t="str">
        <f>_xlfn.IFNA(INDEX('Attandance Tracker'!$B$3:$B$30,MATCH($A154,'Attandance Tracker'!$A$3:$A$30,0)),"")</f>
        <v xml:space="preserve"> Rohit</v>
      </c>
      <c r="C154" s="14" t="str">
        <f>_xlfn.IFNA(INDEX('Attandance Tracker'!$C$3:$C$30,MATCH($A154,'Attandance Tracker'!$A$3:$A$30,0)),"")</f>
        <v>IT</v>
      </c>
      <c r="D154" s="14">
        <v>27</v>
      </c>
      <c r="E154" s="7">
        <v>0.33333333333333331</v>
      </c>
      <c r="F154" s="7">
        <v>0.75</v>
      </c>
      <c r="G154" s="7">
        <f t="shared" si="13"/>
        <v>0.33333333333333331</v>
      </c>
      <c r="H154" s="7">
        <f t="shared" si="14"/>
        <v>8.333333333333337E-2</v>
      </c>
      <c r="I154" t="str">
        <f>IFERROR(IF(INDEX('Attandance Tracker'!$D$3:$AH$50,MATCH($A154,'Attandance Tracker'!$A$3:$A$50,0),DAY($D154))="P","Present",IF(INDEX('Attandance Tracker'!$D$3:$AH$50,MATCH($A154,'Attandance Tracker'!$A$3:$A$50,0),DAY($D154))="A","Absent","Leave")),"")</f>
        <v>Present</v>
      </c>
    </row>
    <row r="155" spans="1:9" x14ac:dyDescent="0.25">
      <c r="A155">
        <v>1005</v>
      </c>
      <c r="B155" t="str">
        <f>_xlfn.IFNA(INDEX('Attandance Tracker'!$B$3:$B$30,MATCH($A155,'Attandance Tracker'!$A$3:$A$30,0)),"")</f>
        <v xml:space="preserve"> Rohit</v>
      </c>
      <c r="C155" s="14" t="str">
        <f>_xlfn.IFNA(INDEX('Attandance Tracker'!$C$3:$C$30,MATCH($A155,'Attandance Tracker'!$A$3:$A$30,0)),"")</f>
        <v>IT</v>
      </c>
      <c r="D155" s="14">
        <v>28</v>
      </c>
      <c r="E155" s="7">
        <v>0.33333333333333331</v>
      </c>
      <c r="F155" s="7">
        <v>0.83333333333333337</v>
      </c>
      <c r="G155" s="7">
        <f t="shared" si="13"/>
        <v>0.33333333333333331</v>
      </c>
      <c r="H155" s="7">
        <f t="shared" si="14"/>
        <v>0.16666666666666669</v>
      </c>
      <c r="I155" t="str">
        <f>IFERROR(IF(INDEX('Attandance Tracker'!$D$3:$AH$50,MATCH($A155,'Attandance Tracker'!$A$3:$A$50,0),DAY($D155))="P","Present",IF(INDEX('Attandance Tracker'!$D$3:$AH$50,MATCH($A155,'Attandance Tracker'!$A$3:$A$50,0),DAY($D155))="A","Absent","Leave")),"")</f>
        <v>Present</v>
      </c>
    </row>
    <row r="156" spans="1:9" x14ac:dyDescent="0.25">
      <c r="A156">
        <v>1005</v>
      </c>
      <c r="B156" t="str">
        <f>_xlfn.IFNA(INDEX('Attandance Tracker'!$B$3:$B$30,MATCH($A156,'Attandance Tracker'!$A$3:$A$30,0)),"")</f>
        <v xml:space="preserve"> Rohit</v>
      </c>
      <c r="C156" s="14" t="str">
        <f>_xlfn.IFNA(INDEX('Attandance Tracker'!$C$3:$C$30,MATCH($A156,'Attandance Tracker'!$A$3:$A$30,0)),"")</f>
        <v>IT</v>
      </c>
      <c r="D156" s="14">
        <v>29</v>
      </c>
      <c r="E156" s="7">
        <v>0.33333333333333331</v>
      </c>
      <c r="F156" s="7">
        <v>0.79166666666666663</v>
      </c>
      <c r="G156" s="7">
        <f t="shared" si="13"/>
        <v>0.33333333333333331</v>
      </c>
      <c r="H156" s="7">
        <f t="shared" si="14"/>
        <v>0.125</v>
      </c>
      <c r="I156" t="str">
        <f>IFERROR(IF(INDEX('Attandance Tracker'!$D$3:$AH$50,MATCH($A156,'Attandance Tracker'!$A$3:$A$50,0),DAY($D156))="P","Present",IF(INDEX('Attandance Tracker'!$D$3:$AH$50,MATCH($A156,'Attandance Tracker'!$A$3:$A$50,0),DAY($D156))="A","Absent","Leave")),"")</f>
        <v>Present</v>
      </c>
    </row>
    <row r="157" spans="1:9" x14ac:dyDescent="0.25">
      <c r="A157">
        <v>1005</v>
      </c>
      <c r="B157" t="str">
        <f>_xlfn.IFNA(INDEX('Attandance Tracker'!$B$3:$B$30,MATCH($A157,'Attandance Tracker'!$A$3:$A$30,0)),"")</f>
        <v xml:space="preserve"> Rohit</v>
      </c>
      <c r="C157" s="14" t="str">
        <f>_xlfn.IFNA(INDEX('Attandance Tracker'!$C$3:$C$30,MATCH($A157,'Attandance Tracker'!$A$3:$A$30,0)),"")</f>
        <v>IT</v>
      </c>
      <c r="D157" s="14">
        <v>30</v>
      </c>
      <c r="E157" s="7">
        <v>0.33333333333333331</v>
      </c>
      <c r="F157" s="7">
        <v>0.83333333333333337</v>
      </c>
      <c r="G157" s="7">
        <f t="shared" si="13"/>
        <v>0.33333333333333331</v>
      </c>
      <c r="H157" s="7">
        <f t="shared" si="14"/>
        <v>0.16666666666666669</v>
      </c>
      <c r="I157" t="str">
        <f>IFERROR(IF(INDEX('Attandance Tracker'!$D$3:$AH$50,MATCH($A157,'Attandance Tracker'!$A$3:$A$50,0),DAY($D157))="P","Present",IF(INDEX('Attandance Tracker'!$D$3:$AH$50,MATCH($A157,'Attandance Tracker'!$A$3:$A$50,0),DAY($D157))="A","Absent","Leave")),"")</f>
        <v>Present</v>
      </c>
    </row>
    <row r="158" spans="1:9" x14ac:dyDescent="0.25">
      <c r="A158">
        <v>1005</v>
      </c>
      <c r="B158" t="str">
        <f>_xlfn.IFNA(INDEX('Attandance Tracker'!$B$3:$B$30,MATCH($A158,'Attandance Tracker'!$A$3:$A$30,0)),"")</f>
        <v xml:space="preserve"> Rohit</v>
      </c>
      <c r="C158" s="14" t="str">
        <f>_xlfn.IFNA(INDEX('Attandance Tracker'!$C$3:$C$30,MATCH($A158,'Attandance Tracker'!$A$3:$A$30,0)),"")</f>
        <v>IT</v>
      </c>
      <c r="D158" s="14">
        <v>31</v>
      </c>
      <c r="E158" s="17">
        <v>0.41666666666666669</v>
      </c>
      <c r="F158" s="7">
        <v>0.83333333333333337</v>
      </c>
      <c r="G158" s="7">
        <f t="shared" si="13"/>
        <v>0</v>
      </c>
      <c r="H158" s="7">
        <f t="shared" si="14"/>
        <v>0</v>
      </c>
      <c r="I158" t="str">
        <f>IFERROR(IF(INDEX('Attandance Tracker'!$D$3:$AH$50,MATCH($A158,'Attandance Tracker'!$A$3:$A$50,0),DAY($D158))="P","Present",IF(INDEX('Attandance Tracker'!$D$3:$AH$50,MATCH($A158,'Attandance Tracker'!$A$3:$A$50,0),DAY($D158))="A","Absent","Leave")),"")</f>
        <v>Leave</v>
      </c>
    </row>
    <row r="159" spans="1:9" x14ac:dyDescent="0.25">
      <c r="A159">
        <v>1006</v>
      </c>
      <c r="B159" t="str">
        <f>_xlfn.IFNA(INDEX('Attandance Tracker'!$B$3:$B$30,MATCH($A159,'Attandance Tracker'!$A$3:$A$30,0)),"")</f>
        <v xml:space="preserve"> Anjali</v>
      </c>
      <c r="C159" s="14" t="str">
        <f>_xlfn.IFNA(INDEX('Attandance Tracker'!$C$3:$C$30,MATCH($A159,'Attandance Tracker'!$A$3:$A$30,0)),"")</f>
        <v>Sales</v>
      </c>
      <c r="D159" s="14">
        <v>1</v>
      </c>
      <c r="E159" s="7">
        <v>0.33333333333333331</v>
      </c>
      <c r="F159" s="7">
        <v>0.75</v>
      </c>
      <c r="G159" s="7">
        <f t="shared" si="13"/>
        <v>0.33333333333333331</v>
      </c>
      <c r="H159" s="7">
        <f t="shared" si="14"/>
        <v>8.333333333333337E-2</v>
      </c>
      <c r="I159" t="str">
        <f>IFERROR(IF(INDEX('Attandance Tracker'!$D$3:$AH$50,MATCH($A159,'Attandance Tracker'!$A$3:$A$50,0),DAY($D159))="P","Present",IF(INDEX('Attandance Tracker'!$D$3:$AH$50,MATCH($A159,'Attandance Tracker'!$A$3:$A$50,0),DAY($D159))="A","Absent","Leave")),"")</f>
        <v>Present</v>
      </c>
    </row>
    <row r="160" spans="1:9" x14ac:dyDescent="0.25">
      <c r="A160">
        <v>1006</v>
      </c>
      <c r="B160" t="str">
        <f>_xlfn.IFNA(INDEX('Attandance Tracker'!$B$3:$B$30,MATCH($A160,'Attandance Tracker'!$A$3:$A$30,0)),"")</f>
        <v xml:space="preserve"> Anjali</v>
      </c>
      <c r="C160" s="14" t="str">
        <f>_xlfn.IFNA(INDEX('Attandance Tracker'!$C$3:$C$30,MATCH($A160,'Attandance Tracker'!$A$3:$A$30,0)),"")</f>
        <v>Sales</v>
      </c>
      <c r="D160" s="14">
        <v>2</v>
      </c>
      <c r="E160" s="7">
        <v>0.375</v>
      </c>
      <c r="F160" s="7">
        <v>0.83333333333333337</v>
      </c>
      <c r="G160" s="7">
        <f t="shared" si="13"/>
        <v>0.33333333333333331</v>
      </c>
      <c r="H160" s="7">
        <f t="shared" si="14"/>
        <v>0.12500000000000006</v>
      </c>
      <c r="I160" t="str">
        <f>IFERROR(IF(INDEX('Attandance Tracker'!$D$3:$AH$50,MATCH($A160,'Attandance Tracker'!$A$3:$A$50,0),DAY($D160))="P","Present",IF(INDEX('Attandance Tracker'!$D$3:$AH$50,MATCH($A160,'Attandance Tracker'!$A$3:$A$50,0),DAY($D160))="A","Absent","Leave")),"")</f>
        <v>Present</v>
      </c>
    </row>
    <row r="161" spans="1:9" x14ac:dyDescent="0.25">
      <c r="A161">
        <v>1006</v>
      </c>
      <c r="B161" t="str">
        <f>_xlfn.IFNA(INDEX('Attandance Tracker'!$B$3:$B$30,MATCH($A161,'Attandance Tracker'!$A$3:$A$30,0)),"")</f>
        <v xml:space="preserve"> Anjali</v>
      </c>
      <c r="C161" s="14" t="str">
        <f>_xlfn.IFNA(INDEX('Attandance Tracker'!$C$3:$C$30,MATCH($A161,'Attandance Tracker'!$A$3:$A$30,0)),"")</f>
        <v>Sales</v>
      </c>
      <c r="D161" s="14">
        <v>3</v>
      </c>
      <c r="E161" s="7">
        <v>0.375</v>
      </c>
      <c r="F161" s="7">
        <v>0.83333333333333337</v>
      </c>
      <c r="G161" s="7">
        <f t="shared" si="13"/>
        <v>0.33333333333333331</v>
      </c>
      <c r="H161" s="7">
        <f t="shared" si="14"/>
        <v>0.12500000000000006</v>
      </c>
      <c r="I161" t="str">
        <f>IFERROR(IF(INDEX('Attandance Tracker'!$D$3:$AH$50,MATCH($A161,'Attandance Tracker'!$A$3:$A$50,0),DAY($D161))="P","Present",IF(INDEX('Attandance Tracker'!$D$3:$AH$50,MATCH($A161,'Attandance Tracker'!$A$3:$A$50,0),DAY($D161))="A","Absent","Leave")),"")</f>
        <v>Present</v>
      </c>
    </row>
    <row r="162" spans="1:9" x14ac:dyDescent="0.25">
      <c r="A162">
        <v>1006</v>
      </c>
      <c r="B162" t="str">
        <f>_xlfn.IFNA(INDEX('Attandance Tracker'!$B$3:$B$30,MATCH($A162,'Attandance Tracker'!$A$3:$A$30,0)),"")</f>
        <v xml:space="preserve"> Anjali</v>
      </c>
      <c r="C162" s="14" t="str">
        <f>_xlfn.IFNA(INDEX('Attandance Tracker'!$C$3:$C$30,MATCH($A162,'Attandance Tracker'!$A$3:$A$30,0)),"")</f>
        <v>Sales</v>
      </c>
      <c r="D162" s="14">
        <v>4</v>
      </c>
      <c r="E162" s="7">
        <v>0.375</v>
      </c>
      <c r="F162" s="7">
        <v>0.83333333333333337</v>
      </c>
      <c r="G162" s="7">
        <f t="shared" si="13"/>
        <v>0.33333333333333331</v>
      </c>
      <c r="H162" s="7">
        <f t="shared" si="14"/>
        <v>0.12500000000000006</v>
      </c>
      <c r="I162" t="str">
        <f>IFERROR(IF(INDEX('Attandance Tracker'!$D$3:$AH$50,MATCH($A162,'Attandance Tracker'!$A$3:$A$50,0),DAY($D162))="P","Present",IF(INDEX('Attandance Tracker'!$D$3:$AH$50,MATCH($A162,'Attandance Tracker'!$A$3:$A$50,0),DAY($D162))="A","Absent","Leave")),"")</f>
        <v>Present</v>
      </c>
    </row>
    <row r="163" spans="1:9" x14ac:dyDescent="0.25">
      <c r="A163">
        <v>1006</v>
      </c>
      <c r="B163" t="str">
        <f>_xlfn.IFNA(INDEX('Attandance Tracker'!$B$3:$B$30,MATCH($A163,'Attandance Tracker'!$A$3:$A$30,0)),"")</f>
        <v xml:space="preserve"> Anjali</v>
      </c>
      <c r="C163" s="14" t="str">
        <f>_xlfn.IFNA(INDEX('Attandance Tracker'!$C$3:$C$30,MATCH($A163,'Attandance Tracker'!$A$3:$A$30,0)),"")</f>
        <v>Sales</v>
      </c>
      <c r="D163" s="14">
        <v>5</v>
      </c>
      <c r="E163" s="7">
        <v>0.33333333333333331</v>
      </c>
      <c r="F163" s="7">
        <v>0.79166666666666663</v>
      </c>
      <c r="G163" s="7">
        <f t="shared" si="13"/>
        <v>0.33333333333333331</v>
      </c>
      <c r="H163" s="7">
        <f t="shared" si="14"/>
        <v>0.125</v>
      </c>
      <c r="I163" t="str">
        <f>IFERROR(IF(INDEX('Attandance Tracker'!$D$3:$AH$50,MATCH($A163,'Attandance Tracker'!$A$3:$A$50,0),DAY($D163))="P","Present",IF(INDEX('Attandance Tracker'!$D$3:$AH$50,MATCH($A163,'Attandance Tracker'!$A$3:$A$50,0),DAY($D163))="A","Absent","Leave")),"")</f>
        <v>Present</v>
      </c>
    </row>
    <row r="164" spans="1:9" x14ac:dyDescent="0.25">
      <c r="A164">
        <v>1006</v>
      </c>
      <c r="B164" t="str">
        <f>_xlfn.IFNA(INDEX('Attandance Tracker'!$B$3:$B$30,MATCH($A164,'Attandance Tracker'!$A$3:$A$30,0)),"")</f>
        <v xml:space="preserve"> Anjali</v>
      </c>
      <c r="C164" s="14" t="str">
        <f>_xlfn.IFNA(INDEX('Attandance Tracker'!$C$3:$C$30,MATCH($A164,'Attandance Tracker'!$A$3:$A$30,0)),"")</f>
        <v>Sales</v>
      </c>
      <c r="D164" s="14">
        <v>6</v>
      </c>
      <c r="E164" s="7">
        <v>0.33333333333333331</v>
      </c>
      <c r="F164" s="7">
        <v>0.75</v>
      </c>
      <c r="G164" s="7">
        <f t="shared" si="13"/>
        <v>0.33333333333333331</v>
      </c>
      <c r="H164" s="7">
        <f t="shared" si="14"/>
        <v>8.333333333333337E-2</v>
      </c>
      <c r="I164" t="str">
        <f>IFERROR(IF(INDEX('Attandance Tracker'!$D$3:$AH$50,MATCH($A164,'Attandance Tracker'!$A$3:$A$50,0),DAY($D164))="P","Present",IF(INDEX('Attandance Tracker'!$D$3:$AH$50,MATCH($A164,'Attandance Tracker'!$A$3:$A$50,0),DAY($D164))="A","Absent","Leave")),"")</f>
        <v>Present</v>
      </c>
    </row>
    <row r="165" spans="1:9" x14ac:dyDescent="0.25">
      <c r="A165">
        <v>1006</v>
      </c>
      <c r="B165" t="str">
        <f>_xlfn.IFNA(INDEX('Attandance Tracker'!$B$3:$B$30,MATCH($A165,'Attandance Tracker'!$A$3:$A$30,0)),"")</f>
        <v xml:space="preserve"> Anjali</v>
      </c>
      <c r="C165" s="14" t="str">
        <f>_xlfn.IFNA(INDEX('Attandance Tracker'!$C$3:$C$30,MATCH($A165,'Attandance Tracker'!$A$3:$A$30,0)),"")</f>
        <v>Sales</v>
      </c>
      <c r="D165" s="14">
        <v>7</v>
      </c>
      <c r="E165" s="7">
        <v>0.33333333333333331</v>
      </c>
      <c r="F165" s="7">
        <v>0.83333333333333337</v>
      </c>
      <c r="G165" s="7">
        <f t="shared" si="13"/>
        <v>0.33333333333333331</v>
      </c>
      <c r="H165" s="7">
        <f t="shared" si="14"/>
        <v>0.16666666666666669</v>
      </c>
      <c r="I165" t="str">
        <f>IFERROR(IF(INDEX('Attandance Tracker'!$D$3:$AH$50,MATCH($A165,'Attandance Tracker'!$A$3:$A$50,0),DAY($D165))="P","Present",IF(INDEX('Attandance Tracker'!$D$3:$AH$50,MATCH($A165,'Attandance Tracker'!$A$3:$A$50,0),DAY($D165))="A","Absent","Leave")),"")</f>
        <v>Present</v>
      </c>
    </row>
    <row r="166" spans="1:9" x14ac:dyDescent="0.25">
      <c r="A166">
        <v>1006</v>
      </c>
      <c r="B166" t="str">
        <f>_xlfn.IFNA(INDEX('Attandance Tracker'!$B$3:$B$30,MATCH($A166,'Attandance Tracker'!$A$3:$A$30,0)),"")</f>
        <v xml:space="preserve"> Anjali</v>
      </c>
      <c r="C166" s="14" t="str">
        <f>_xlfn.IFNA(INDEX('Attandance Tracker'!$C$3:$C$30,MATCH($A166,'Attandance Tracker'!$A$3:$A$30,0)),"")</f>
        <v>Sales</v>
      </c>
      <c r="D166" s="14">
        <v>8</v>
      </c>
      <c r="E166" s="7">
        <v>0.33333333333333331</v>
      </c>
      <c r="F166" s="7">
        <v>0.83333333333333337</v>
      </c>
      <c r="G166" s="7">
        <f t="shared" si="13"/>
        <v>0.33333333333333331</v>
      </c>
      <c r="H166" s="7">
        <f t="shared" si="14"/>
        <v>0.16666666666666669</v>
      </c>
      <c r="I166" t="str">
        <f>IFERROR(IF(INDEX('Attandance Tracker'!$D$3:$AH$50,MATCH($A166,'Attandance Tracker'!$A$3:$A$50,0),DAY($D166))="P","Present",IF(INDEX('Attandance Tracker'!$D$3:$AH$50,MATCH($A166,'Attandance Tracker'!$A$3:$A$50,0),DAY($D166))="A","Absent","Leave")),"")</f>
        <v>Present</v>
      </c>
    </row>
    <row r="167" spans="1:9" x14ac:dyDescent="0.25">
      <c r="A167">
        <v>1006</v>
      </c>
      <c r="B167" t="str">
        <f>_xlfn.IFNA(INDEX('Attandance Tracker'!$B$3:$B$30,MATCH($A167,'Attandance Tracker'!$A$3:$A$30,0)),"")</f>
        <v xml:space="preserve"> Anjali</v>
      </c>
      <c r="C167" s="14" t="str">
        <f>_xlfn.IFNA(INDEX('Attandance Tracker'!$C$3:$C$30,MATCH($A167,'Attandance Tracker'!$A$3:$A$30,0)),"")</f>
        <v>Sales</v>
      </c>
      <c r="D167" s="14">
        <v>9</v>
      </c>
      <c r="E167" s="7">
        <v>0.33333333333333331</v>
      </c>
      <c r="F167" s="7">
        <v>0.83333333333333337</v>
      </c>
      <c r="G167" s="7">
        <f t="shared" si="13"/>
        <v>0.33333333333333331</v>
      </c>
      <c r="H167" s="7">
        <f t="shared" si="14"/>
        <v>0.16666666666666669</v>
      </c>
      <c r="I167" t="str">
        <f>IFERROR(IF(INDEX('Attandance Tracker'!$D$3:$AH$50,MATCH($A167,'Attandance Tracker'!$A$3:$A$50,0),DAY($D167))="P","Present",IF(INDEX('Attandance Tracker'!$D$3:$AH$50,MATCH($A167,'Attandance Tracker'!$A$3:$A$50,0),DAY($D167))="A","Absent","Leave")),"")</f>
        <v>Present</v>
      </c>
    </row>
    <row r="168" spans="1:9" x14ac:dyDescent="0.25">
      <c r="A168">
        <v>1006</v>
      </c>
      <c r="B168" t="str">
        <f>_xlfn.IFNA(INDEX('Attandance Tracker'!$B$3:$B$30,MATCH($A168,'Attandance Tracker'!$A$3:$A$30,0)),"")</f>
        <v xml:space="preserve"> Anjali</v>
      </c>
      <c r="C168" s="14" t="str">
        <f>_xlfn.IFNA(INDEX('Attandance Tracker'!$C$3:$C$30,MATCH($A168,'Attandance Tracker'!$A$3:$A$30,0)),"")</f>
        <v>Sales</v>
      </c>
      <c r="D168" s="14">
        <v>10</v>
      </c>
      <c r="E168" s="7">
        <v>0.33333333333333331</v>
      </c>
      <c r="F168" s="7">
        <v>0.83333333333333337</v>
      </c>
      <c r="G168" s="7">
        <f t="shared" si="13"/>
        <v>0.33333333333333331</v>
      </c>
      <c r="H168" s="7">
        <f t="shared" si="14"/>
        <v>0.16666666666666669</v>
      </c>
      <c r="I168" t="str">
        <f>IFERROR(IF(INDEX('Attandance Tracker'!$D$3:$AH$50,MATCH($A168,'Attandance Tracker'!$A$3:$A$50,0),DAY($D168))="P","Present",IF(INDEX('Attandance Tracker'!$D$3:$AH$50,MATCH($A168,'Attandance Tracker'!$A$3:$A$50,0),DAY($D168))="A","Absent","Leave")),"")</f>
        <v>Present</v>
      </c>
    </row>
    <row r="169" spans="1:9" x14ac:dyDescent="0.25">
      <c r="A169">
        <v>1006</v>
      </c>
      <c r="B169" t="str">
        <f>_xlfn.IFNA(INDEX('Attandance Tracker'!$B$3:$B$30,MATCH($A169,'Attandance Tracker'!$A$3:$A$30,0)),"")</f>
        <v xml:space="preserve"> Anjali</v>
      </c>
      <c r="C169" s="14" t="str">
        <f>_xlfn.IFNA(INDEX('Attandance Tracker'!$C$3:$C$30,MATCH($A169,'Attandance Tracker'!$A$3:$A$30,0)),"")</f>
        <v>Sales</v>
      </c>
      <c r="D169" s="14">
        <v>11</v>
      </c>
      <c r="E169" s="7">
        <v>0.33333333333333331</v>
      </c>
      <c r="F169" s="7">
        <v>0.79166666666666663</v>
      </c>
      <c r="G169" s="7">
        <f t="shared" si="13"/>
        <v>0.33333333333333331</v>
      </c>
      <c r="H169" s="7">
        <f t="shared" si="14"/>
        <v>0.125</v>
      </c>
      <c r="I169" t="str">
        <f>IFERROR(IF(INDEX('Attandance Tracker'!$D$3:$AH$50,MATCH($A169,'Attandance Tracker'!$A$3:$A$50,0),DAY($D169))="P","Present",IF(INDEX('Attandance Tracker'!$D$3:$AH$50,MATCH($A169,'Attandance Tracker'!$A$3:$A$50,0),DAY($D169))="A","Absent","Leave")),"")</f>
        <v>Present</v>
      </c>
    </row>
    <row r="170" spans="1:9" x14ac:dyDescent="0.25">
      <c r="A170">
        <v>1006</v>
      </c>
      <c r="B170" t="str">
        <f>_xlfn.IFNA(INDEX('Attandance Tracker'!$B$3:$B$30,MATCH($A170,'Attandance Tracker'!$A$3:$A$30,0)),"")</f>
        <v xml:space="preserve"> Anjali</v>
      </c>
      <c r="C170" s="14" t="str">
        <f>_xlfn.IFNA(INDEX('Attandance Tracker'!$C$3:$C$30,MATCH($A170,'Attandance Tracker'!$A$3:$A$30,0)),"")</f>
        <v>Sales</v>
      </c>
      <c r="D170" s="14">
        <v>12</v>
      </c>
      <c r="E170" s="7">
        <v>0.375</v>
      </c>
      <c r="F170" s="7">
        <v>0.75</v>
      </c>
      <c r="G170" s="7">
        <f t="shared" si="13"/>
        <v>0.33333333333333331</v>
      </c>
      <c r="H170" s="7">
        <f t="shared" si="14"/>
        <v>4.1666666666666685E-2</v>
      </c>
      <c r="I170" t="str">
        <f>IFERROR(IF(INDEX('Attandance Tracker'!$D$3:$AH$50,MATCH($A170,'Attandance Tracker'!$A$3:$A$50,0),DAY($D170))="P","Present",IF(INDEX('Attandance Tracker'!$D$3:$AH$50,MATCH($A170,'Attandance Tracker'!$A$3:$A$50,0),DAY($D170))="A","Absent","Leave")),"")</f>
        <v>Present</v>
      </c>
    </row>
    <row r="171" spans="1:9" x14ac:dyDescent="0.25">
      <c r="A171">
        <v>1006</v>
      </c>
      <c r="B171" t="str">
        <f>_xlfn.IFNA(INDEX('Attandance Tracker'!$B$3:$B$30,MATCH($A171,'Attandance Tracker'!$A$3:$A$30,0)),"")</f>
        <v xml:space="preserve"> Anjali</v>
      </c>
      <c r="C171" s="14" t="str">
        <f>_xlfn.IFNA(INDEX('Attandance Tracker'!$C$3:$C$30,MATCH($A171,'Attandance Tracker'!$A$3:$A$30,0)),"")</f>
        <v>Sales</v>
      </c>
      <c r="D171" s="14">
        <v>13</v>
      </c>
      <c r="E171" s="7">
        <v>0.375</v>
      </c>
      <c r="F171" s="7">
        <v>0.83333333333333337</v>
      </c>
      <c r="G171" s="7">
        <f t="shared" si="13"/>
        <v>0.33333333333333331</v>
      </c>
      <c r="H171" s="7">
        <f t="shared" si="14"/>
        <v>0.12500000000000006</v>
      </c>
      <c r="I171" t="str">
        <f>IFERROR(IF(INDEX('Attandance Tracker'!$D$3:$AH$50,MATCH($A171,'Attandance Tracker'!$A$3:$A$50,0),DAY($D171))="P","Present",IF(INDEX('Attandance Tracker'!$D$3:$AH$50,MATCH($A171,'Attandance Tracker'!$A$3:$A$50,0),DAY($D171))="A","Absent","Leave")),"")</f>
        <v>Present</v>
      </c>
    </row>
    <row r="172" spans="1:9" x14ac:dyDescent="0.25">
      <c r="A172">
        <v>1006</v>
      </c>
      <c r="B172" t="str">
        <f>_xlfn.IFNA(INDEX('Attandance Tracker'!$B$3:$B$30,MATCH($A172,'Attandance Tracker'!$A$3:$A$30,0)),"")</f>
        <v xml:space="preserve"> Anjali</v>
      </c>
      <c r="C172" s="14" t="str">
        <f>_xlfn.IFNA(INDEX('Attandance Tracker'!$C$3:$C$30,MATCH($A172,'Attandance Tracker'!$A$3:$A$30,0)),"")</f>
        <v>Sales</v>
      </c>
      <c r="D172" s="14">
        <v>14</v>
      </c>
      <c r="E172" s="7">
        <v>0.375</v>
      </c>
      <c r="F172" s="7">
        <v>0.83333333333333337</v>
      </c>
      <c r="G172" s="7">
        <f t="shared" si="13"/>
        <v>0.33333333333333331</v>
      </c>
      <c r="H172" s="7">
        <f t="shared" si="14"/>
        <v>0.12500000000000006</v>
      </c>
      <c r="I172" t="str">
        <f>IFERROR(IF(INDEX('Attandance Tracker'!$D$3:$AH$50,MATCH($A172,'Attandance Tracker'!$A$3:$A$50,0),DAY($D172))="P","Present",IF(INDEX('Attandance Tracker'!$D$3:$AH$50,MATCH($A172,'Attandance Tracker'!$A$3:$A$50,0),DAY($D172))="A","Absent","Leave")),"")</f>
        <v>Present</v>
      </c>
    </row>
    <row r="173" spans="1:9" x14ac:dyDescent="0.25">
      <c r="A173">
        <v>1006</v>
      </c>
      <c r="B173" t="str">
        <f>_xlfn.IFNA(INDEX('Attandance Tracker'!$B$3:$B$30,MATCH($A173,'Attandance Tracker'!$A$3:$A$30,0)),"")</f>
        <v xml:space="preserve"> Anjali</v>
      </c>
      <c r="C173" s="14" t="str">
        <f>_xlfn.IFNA(INDEX('Attandance Tracker'!$C$3:$C$30,MATCH($A173,'Attandance Tracker'!$A$3:$A$30,0)),"")</f>
        <v>Sales</v>
      </c>
      <c r="D173" s="14">
        <v>15</v>
      </c>
      <c r="E173" s="7">
        <v>0.33333333333333331</v>
      </c>
      <c r="F173" s="7">
        <v>0.83333333333333337</v>
      </c>
      <c r="G173" s="7">
        <f t="shared" si="13"/>
        <v>0.33333333333333331</v>
      </c>
      <c r="H173" s="7">
        <f t="shared" si="14"/>
        <v>0.16666666666666669</v>
      </c>
      <c r="I173" t="str">
        <f>IFERROR(IF(INDEX('Attandance Tracker'!$D$3:$AH$50,MATCH($A173,'Attandance Tracker'!$A$3:$A$50,0),DAY($D173))="P","Present",IF(INDEX('Attandance Tracker'!$D$3:$AH$50,MATCH($A173,'Attandance Tracker'!$A$3:$A$50,0),DAY($D173))="A","Absent","Leave")),"")</f>
        <v>Present</v>
      </c>
    </row>
    <row r="174" spans="1:9" x14ac:dyDescent="0.25">
      <c r="A174">
        <v>1006</v>
      </c>
      <c r="B174" t="str">
        <f>_xlfn.IFNA(INDEX('Attandance Tracker'!$B$3:$B$30,MATCH($A174,'Attandance Tracker'!$A$3:$A$30,0)),"")</f>
        <v xml:space="preserve"> Anjali</v>
      </c>
      <c r="C174" s="14" t="str">
        <f>_xlfn.IFNA(INDEX('Attandance Tracker'!$C$3:$C$30,MATCH($A174,'Attandance Tracker'!$A$3:$A$30,0)),"")</f>
        <v>Sales</v>
      </c>
      <c r="D174" s="14">
        <v>16</v>
      </c>
      <c r="E174" s="7">
        <v>0.33333333333333331</v>
      </c>
      <c r="F174" s="7">
        <v>0.83333333333333337</v>
      </c>
      <c r="G174" s="7">
        <f t="shared" si="13"/>
        <v>0.33333333333333331</v>
      </c>
      <c r="H174" s="7">
        <f t="shared" si="14"/>
        <v>0.16666666666666669</v>
      </c>
      <c r="I174" t="str">
        <f>IFERROR(IF(INDEX('Attandance Tracker'!$D$3:$AH$50,MATCH($A174,'Attandance Tracker'!$A$3:$A$50,0),DAY($D174))="P","Present",IF(INDEX('Attandance Tracker'!$D$3:$AH$50,MATCH($A174,'Attandance Tracker'!$A$3:$A$50,0),DAY($D174))="A","Absent","Leave")),"")</f>
        <v>Present</v>
      </c>
    </row>
    <row r="175" spans="1:9" x14ac:dyDescent="0.25">
      <c r="A175">
        <v>1006</v>
      </c>
      <c r="B175" t="str">
        <f>_xlfn.IFNA(INDEX('Attandance Tracker'!$B$3:$B$30,MATCH($A175,'Attandance Tracker'!$A$3:$A$30,0)),"")</f>
        <v xml:space="preserve"> Anjali</v>
      </c>
      <c r="C175" s="14" t="str">
        <f>_xlfn.IFNA(INDEX('Attandance Tracker'!$C$3:$C$30,MATCH($A175,'Attandance Tracker'!$A$3:$A$30,0)),"")</f>
        <v>Sales</v>
      </c>
      <c r="D175" s="14">
        <v>17</v>
      </c>
      <c r="E175" s="7">
        <v>0.33333333333333331</v>
      </c>
      <c r="F175" s="7">
        <v>0.79166666666666663</v>
      </c>
      <c r="G175" s="7">
        <f t="shared" si="13"/>
        <v>0.33333333333333331</v>
      </c>
      <c r="H175" s="7">
        <f t="shared" si="14"/>
        <v>0.125</v>
      </c>
      <c r="I175" t="str">
        <f>IFERROR(IF(INDEX('Attandance Tracker'!$D$3:$AH$50,MATCH($A175,'Attandance Tracker'!$A$3:$A$50,0),DAY($D175))="P","Present",IF(INDEX('Attandance Tracker'!$D$3:$AH$50,MATCH($A175,'Attandance Tracker'!$A$3:$A$50,0),DAY($D175))="A","Absent","Leave")),"")</f>
        <v>Present</v>
      </c>
    </row>
    <row r="176" spans="1:9" x14ac:dyDescent="0.25">
      <c r="A176">
        <v>1006</v>
      </c>
      <c r="B176" t="str">
        <f>_xlfn.IFNA(INDEX('Attandance Tracker'!$B$3:$B$30,MATCH($A176,'Attandance Tracker'!$A$3:$A$30,0)),"")</f>
        <v xml:space="preserve"> Anjali</v>
      </c>
      <c r="C176" s="14" t="str">
        <f>_xlfn.IFNA(INDEX('Attandance Tracker'!$C$3:$C$30,MATCH($A176,'Attandance Tracker'!$A$3:$A$30,0)),"")</f>
        <v>Sales</v>
      </c>
      <c r="D176" s="14">
        <v>18</v>
      </c>
      <c r="E176" s="7">
        <v>0.33333333333333331</v>
      </c>
      <c r="F176" s="7">
        <v>0.75</v>
      </c>
      <c r="G176" s="7">
        <f t="shared" si="13"/>
        <v>0.33333333333333331</v>
      </c>
      <c r="H176" s="7">
        <f t="shared" si="14"/>
        <v>8.333333333333337E-2</v>
      </c>
      <c r="I176" t="str">
        <f>IFERROR(IF(INDEX('Attandance Tracker'!$D$3:$AH$50,MATCH($A176,'Attandance Tracker'!$A$3:$A$50,0),DAY($D176))="P","Present",IF(INDEX('Attandance Tracker'!$D$3:$AH$50,MATCH($A176,'Attandance Tracker'!$A$3:$A$50,0),DAY($D176))="A","Absent","Leave")),"")</f>
        <v>Present</v>
      </c>
    </row>
    <row r="177" spans="1:9" x14ac:dyDescent="0.25">
      <c r="A177">
        <v>1006</v>
      </c>
      <c r="B177" t="str">
        <f>_xlfn.IFNA(INDEX('Attandance Tracker'!$B$3:$B$30,MATCH($A177,'Attandance Tracker'!$A$3:$A$30,0)),"")</f>
        <v xml:space="preserve"> Anjali</v>
      </c>
      <c r="C177" s="14" t="str">
        <f>_xlfn.IFNA(INDEX('Attandance Tracker'!$C$3:$C$30,MATCH($A177,'Attandance Tracker'!$A$3:$A$30,0)),"")</f>
        <v>Sales</v>
      </c>
      <c r="D177" s="14">
        <v>19</v>
      </c>
      <c r="E177" s="7">
        <v>0.33333333333333331</v>
      </c>
      <c r="F177" s="7">
        <v>0.83333333333333337</v>
      </c>
      <c r="G177" s="7">
        <f t="shared" si="13"/>
        <v>0.33333333333333331</v>
      </c>
      <c r="H177" s="7">
        <f t="shared" si="14"/>
        <v>0.16666666666666669</v>
      </c>
      <c r="I177" t="str">
        <f>IFERROR(IF(INDEX('Attandance Tracker'!$D$3:$AH$50,MATCH($A177,'Attandance Tracker'!$A$3:$A$50,0),DAY($D177))="P","Present",IF(INDEX('Attandance Tracker'!$D$3:$AH$50,MATCH($A177,'Attandance Tracker'!$A$3:$A$50,0),DAY($D177))="A","Absent","Leave")),"")</f>
        <v>Present</v>
      </c>
    </row>
    <row r="178" spans="1:9" x14ac:dyDescent="0.25">
      <c r="A178">
        <v>1006</v>
      </c>
      <c r="B178" t="str">
        <f>_xlfn.IFNA(INDEX('Attandance Tracker'!$B$3:$B$30,MATCH($A178,'Attandance Tracker'!$A$3:$A$30,0)),"")</f>
        <v xml:space="preserve"> Anjali</v>
      </c>
      <c r="C178" s="14" t="str">
        <f>_xlfn.IFNA(INDEX('Attandance Tracker'!$C$3:$C$30,MATCH($A178,'Attandance Tracker'!$A$3:$A$30,0)),"")</f>
        <v>Sales</v>
      </c>
      <c r="D178" s="14">
        <v>20</v>
      </c>
      <c r="E178" s="7">
        <v>0.33333333333333331</v>
      </c>
      <c r="F178" s="17">
        <v>0.75</v>
      </c>
      <c r="G178" s="7">
        <f t="shared" si="13"/>
        <v>0.33333333333333331</v>
      </c>
      <c r="H178" s="7">
        <f t="shared" si="14"/>
        <v>8.333333333333337E-2</v>
      </c>
      <c r="I178" t="str">
        <f>IFERROR(IF(INDEX('Attandance Tracker'!$D$3:$AH$50,MATCH($A178,'Attandance Tracker'!$A$3:$A$50,0),DAY($D178))="P","Present",IF(INDEX('Attandance Tracker'!$D$3:$AH$50,MATCH($A178,'Attandance Tracker'!$A$3:$A$50,0),DAY($D178))="A","Absent","Leave")),"")</f>
        <v>Present</v>
      </c>
    </row>
    <row r="179" spans="1:9" x14ac:dyDescent="0.25">
      <c r="A179">
        <v>1006</v>
      </c>
      <c r="B179" t="str">
        <f>_xlfn.IFNA(INDEX('Attandance Tracker'!$B$3:$B$30,MATCH($A179,'Attandance Tracker'!$A$3:$A$30,0)),"")</f>
        <v xml:space="preserve"> Anjali</v>
      </c>
      <c r="C179" s="14" t="str">
        <f>_xlfn.IFNA(INDEX('Attandance Tracker'!$C$3:$C$30,MATCH($A179,'Attandance Tracker'!$A$3:$A$30,0)),"")</f>
        <v>Sales</v>
      </c>
      <c r="D179" s="14">
        <v>21</v>
      </c>
      <c r="E179" s="7">
        <v>0.33333333333333331</v>
      </c>
      <c r="F179" s="7">
        <v>0.83333333333333337</v>
      </c>
      <c r="G179" s="7">
        <f t="shared" si="13"/>
        <v>0.33333333333333331</v>
      </c>
      <c r="H179" s="7">
        <f t="shared" si="14"/>
        <v>0.16666666666666669</v>
      </c>
      <c r="I179" t="str">
        <f>IFERROR(IF(INDEX('Attandance Tracker'!$D$3:$AH$50,MATCH($A179,'Attandance Tracker'!$A$3:$A$50,0),DAY($D179))="P","Present",IF(INDEX('Attandance Tracker'!$D$3:$AH$50,MATCH($A179,'Attandance Tracker'!$A$3:$A$50,0),DAY($D179))="A","Absent","Leave")),"")</f>
        <v>Present</v>
      </c>
    </row>
    <row r="180" spans="1:9" x14ac:dyDescent="0.25">
      <c r="A180">
        <v>1006</v>
      </c>
      <c r="B180" t="str">
        <f>_xlfn.IFNA(INDEX('Attandance Tracker'!$B$3:$B$30,MATCH($A180,'Attandance Tracker'!$A$3:$A$30,0)),"")</f>
        <v xml:space="preserve"> Anjali</v>
      </c>
      <c r="C180" s="14" t="str">
        <f>_xlfn.IFNA(INDEX('Attandance Tracker'!$C$3:$C$30,MATCH($A180,'Attandance Tracker'!$A$3:$A$30,0)),"")</f>
        <v>Sales</v>
      </c>
      <c r="D180" s="14">
        <v>22</v>
      </c>
      <c r="E180" s="7">
        <v>0.375</v>
      </c>
      <c r="F180" s="7">
        <v>0.79166666666666663</v>
      </c>
      <c r="G180" s="7">
        <f t="shared" si="13"/>
        <v>0.33333333333333331</v>
      </c>
      <c r="H180" s="7">
        <f t="shared" si="14"/>
        <v>8.3333333333333315E-2</v>
      </c>
      <c r="I180" t="str">
        <f>IFERROR(IF(INDEX('Attandance Tracker'!$D$3:$AH$50,MATCH($A180,'Attandance Tracker'!$A$3:$A$50,0),DAY($D180))="P","Present",IF(INDEX('Attandance Tracker'!$D$3:$AH$50,MATCH($A180,'Attandance Tracker'!$A$3:$A$50,0),DAY($D180))="A","Absent","Leave")),"")</f>
        <v>Present</v>
      </c>
    </row>
    <row r="181" spans="1:9" x14ac:dyDescent="0.25">
      <c r="A181">
        <v>1006</v>
      </c>
      <c r="B181" t="str">
        <f>_xlfn.IFNA(INDEX('Attandance Tracker'!$B$3:$B$30,MATCH($A181,'Attandance Tracker'!$A$3:$A$30,0)),"")</f>
        <v xml:space="preserve"> Anjali</v>
      </c>
      <c r="C181" s="14" t="str">
        <f>_xlfn.IFNA(INDEX('Attandance Tracker'!$C$3:$C$30,MATCH($A181,'Attandance Tracker'!$A$3:$A$30,0)),"")</f>
        <v>Sales</v>
      </c>
      <c r="D181" s="14">
        <v>23</v>
      </c>
      <c r="E181" s="7">
        <v>0.375</v>
      </c>
      <c r="F181" s="7">
        <v>0.75</v>
      </c>
      <c r="G181" s="7">
        <f t="shared" si="13"/>
        <v>0.33333333333333331</v>
      </c>
      <c r="H181" s="7">
        <f t="shared" si="14"/>
        <v>4.1666666666666685E-2</v>
      </c>
      <c r="I181" t="str">
        <f>IFERROR(IF(INDEX('Attandance Tracker'!$D$3:$AH$50,MATCH($A181,'Attandance Tracker'!$A$3:$A$50,0),DAY($D181))="P","Present",IF(INDEX('Attandance Tracker'!$D$3:$AH$50,MATCH($A181,'Attandance Tracker'!$A$3:$A$50,0),DAY($D181))="A","Absent","Leave")),"")</f>
        <v>Present</v>
      </c>
    </row>
    <row r="182" spans="1:9" x14ac:dyDescent="0.25">
      <c r="A182">
        <v>1006</v>
      </c>
      <c r="B182" t="str">
        <f>_xlfn.IFNA(INDEX('Attandance Tracker'!$B$3:$B$30,MATCH($A182,'Attandance Tracker'!$A$3:$A$30,0)),"")</f>
        <v xml:space="preserve"> Anjali</v>
      </c>
      <c r="C182" s="14" t="str">
        <f>_xlfn.IFNA(INDEX('Attandance Tracker'!$C$3:$C$30,MATCH($A182,'Attandance Tracker'!$A$3:$A$30,0)),"")</f>
        <v>Sales</v>
      </c>
      <c r="D182" s="14">
        <v>24</v>
      </c>
      <c r="E182" s="7">
        <v>0.375</v>
      </c>
      <c r="F182" s="7">
        <v>0.83333333333333337</v>
      </c>
      <c r="G182" s="7">
        <f t="shared" si="13"/>
        <v>0.33333333333333331</v>
      </c>
      <c r="H182" s="7">
        <f t="shared" si="14"/>
        <v>0.12500000000000006</v>
      </c>
      <c r="I182" t="str">
        <f>IFERROR(IF(INDEX('Attandance Tracker'!$D$3:$AH$50,MATCH($A182,'Attandance Tracker'!$A$3:$A$50,0),DAY($D182))="P","Present",IF(INDEX('Attandance Tracker'!$D$3:$AH$50,MATCH($A182,'Attandance Tracker'!$A$3:$A$50,0),DAY($D182))="A","Absent","Leave")),"")</f>
        <v>Present</v>
      </c>
    </row>
    <row r="183" spans="1:9" x14ac:dyDescent="0.25">
      <c r="A183">
        <v>1006</v>
      </c>
      <c r="B183" t="str">
        <f>_xlfn.IFNA(INDEX('Attandance Tracker'!$B$3:$B$30,MATCH($A183,'Attandance Tracker'!$A$3:$A$30,0)),"")</f>
        <v xml:space="preserve"> Anjali</v>
      </c>
      <c r="C183" s="14" t="str">
        <f>_xlfn.IFNA(INDEX('Attandance Tracker'!$C$3:$C$30,MATCH($A183,'Attandance Tracker'!$A$3:$A$30,0)),"")</f>
        <v>Sales</v>
      </c>
      <c r="D183" s="14">
        <v>25</v>
      </c>
      <c r="E183" s="7">
        <v>0.33333333333333331</v>
      </c>
      <c r="F183" s="7">
        <v>0.83333333333333337</v>
      </c>
      <c r="G183" s="7">
        <f t="shared" si="13"/>
        <v>0.33333333333333331</v>
      </c>
      <c r="H183" s="7">
        <f t="shared" si="14"/>
        <v>0.16666666666666669</v>
      </c>
      <c r="I183" t="str">
        <f>IFERROR(IF(INDEX('Attandance Tracker'!$D$3:$AH$50,MATCH($A183,'Attandance Tracker'!$A$3:$A$50,0),DAY($D183))="P","Present",IF(INDEX('Attandance Tracker'!$D$3:$AH$50,MATCH($A183,'Attandance Tracker'!$A$3:$A$50,0),DAY($D183))="A","Absent","Leave")),"")</f>
        <v>Present</v>
      </c>
    </row>
    <row r="184" spans="1:9" x14ac:dyDescent="0.25">
      <c r="A184">
        <v>1006</v>
      </c>
      <c r="B184" t="str">
        <f>_xlfn.IFNA(INDEX('Attandance Tracker'!$B$3:$B$30,MATCH($A184,'Attandance Tracker'!$A$3:$A$30,0)),"")</f>
        <v xml:space="preserve"> Anjali</v>
      </c>
      <c r="C184" s="14" t="str">
        <f>_xlfn.IFNA(INDEX('Attandance Tracker'!$C$3:$C$30,MATCH($A184,'Attandance Tracker'!$A$3:$A$30,0)),"")</f>
        <v>Sales</v>
      </c>
      <c r="D184" s="14">
        <v>26</v>
      </c>
      <c r="E184" s="7">
        <v>0.33333333333333331</v>
      </c>
      <c r="F184" s="7">
        <v>0.79166666666666663</v>
      </c>
      <c r="G184" s="7">
        <f t="shared" si="13"/>
        <v>0.33333333333333331</v>
      </c>
      <c r="H184" s="7">
        <f t="shared" si="14"/>
        <v>0.125</v>
      </c>
      <c r="I184" t="str">
        <f>IFERROR(IF(INDEX('Attandance Tracker'!$D$3:$AH$50,MATCH($A184,'Attandance Tracker'!$A$3:$A$50,0),DAY($D184))="P","Present",IF(INDEX('Attandance Tracker'!$D$3:$AH$50,MATCH($A184,'Attandance Tracker'!$A$3:$A$50,0),DAY($D184))="A","Absent","Leave")),"")</f>
        <v>Present</v>
      </c>
    </row>
    <row r="185" spans="1:9" x14ac:dyDescent="0.25">
      <c r="A185">
        <v>1006</v>
      </c>
      <c r="B185" t="str">
        <f>_xlfn.IFNA(INDEX('Attandance Tracker'!$B$3:$B$30,MATCH($A185,'Attandance Tracker'!$A$3:$A$30,0)),"")</f>
        <v xml:space="preserve"> Anjali</v>
      </c>
      <c r="C185" s="14" t="str">
        <f>_xlfn.IFNA(INDEX('Attandance Tracker'!$C$3:$C$30,MATCH($A185,'Attandance Tracker'!$A$3:$A$30,0)),"")</f>
        <v>Sales</v>
      </c>
      <c r="D185" s="14">
        <v>27</v>
      </c>
      <c r="E185" s="7">
        <v>0.33333333333333331</v>
      </c>
      <c r="F185" s="7">
        <v>0.83333333333333337</v>
      </c>
      <c r="G185" s="7">
        <f t="shared" si="13"/>
        <v>0.33333333333333331</v>
      </c>
      <c r="H185" s="7">
        <f t="shared" si="14"/>
        <v>0.16666666666666669</v>
      </c>
      <c r="I185" t="str">
        <f>IFERROR(IF(INDEX('Attandance Tracker'!$D$3:$AH$50,MATCH($A185,'Attandance Tracker'!$A$3:$A$50,0),DAY($D185))="P","Present",IF(INDEX('Attandance Tracker'!$D$3:$AH$50,MATCH($A185,'Attandance Tracker'!$A$3:$A$50,0),DAY($D185))="A","Absent","Leave")),"")</f>
        <v>Present</v>
      </c>
    </row>
    <row r="186" spans="1:9" x14ac:dyDescent="0.25">
      <c r="A186">
        <v>1006</v>
      </c>
      <c r="B186" t="str">
        <f>_xlfn.IFNA(INDEX('Attandance Tracker'!$B$3:$B$30,MATCH($A186,'Attandance Tracker'!$A$3:$A$30,0)),"")</f>
        <v xml:space="preserve"> Anjali</v>
      </c>
      <c r="C186" s="14" t="str">
        <f>_xlfn.IFNA(INDEX('Attandance Tracker'!$C$3:$C$30,MATCH($A186,'Attandance Tracker'!$A$3:$A$30,0)),"")</f>
        <v>Sales</v>
      </c>
      <c r="D186" s="14">
        <v>28</v>
      </c>
      <c r="E186" s="7">
        <v>0.33333333333333331</v>
      </c>
      <c r="F186" s="7">
        <v>0.83333333333333337</v>
      </c>
      <c r="G186" s="7">
        <f t="shared" si="13"/>
        <v>0.33333333333333331</v>
      </c>
      <c r="H186" s="7">
        <f t="shared" si="14"/>
        <v>0.16666666666666669</v>
      </c>
      <c r="I186" t="str">
        <f>IFERROR(IF(INDEX('Attandance Tracker'!$D$3:$AH$50,MATCH($A186,'Attandance Tracker'!$A$3:$A$50,0),DAY($D186))="P","Present",IF(INDEX('Attandance Tracker'!$D$3:$AH$50,MATCH($A186,'Attandance Tracker'!$A$3:$A$50,0),DAY($D186))="A","Absent","Leave")),"")</f>
        <v>Present</v>
      </c>
    </row>
    <row r="187" spans="1:9" x14ac:dyDescent="0.25">
      <c r="A187">
        <v>1006</v>
      </c>
      <c r="B187" t="str">
        <f>_xlfn.IFNA(INDEX('Attandance Tracker'!$B$3:$B$30,MATCH($A187,'Attandance Tracker'!$A$3:$A$30,0)),"")</f>
        <v xml:space="preserve"> Anjali</v>
      </c>
      <c r="C187" s="14" t="str">
        <f>_xlfn.IFNA(INDEX('Attandance Tracker'!$C$3:$C$30,MATCH($A187,'Attandance Tracker'!$A$3:$A$30,0)),"")</f>
        <v>Sales</v>
      </c>
      <c r="D187" s="14">
        <v>29</v>
      </c>
      <c r="E187" s="7">
        <v>0.33333333333333331</v>
      </c>
      <c r="F187" s="7">
        <v>0.79166666666666663</v>
      </c>
      <c r="G187" s="7">
        <f t="shared" si="13"/>
        <v>0.33333333333333331</v>
      </c>
      <c r="H187" s="7">
        <f t="shared" si="14"/>
        <v>0.125</v>
      </c>
      <c r="I187" t="str">
        <f>IFERROR(IF(INDEX('Attandance Tracker'!$D$3:$AH$50,MATCH($A187,'Attandance Tracker'!$A$3:$A$50,0),DAY($D187))="P","Present",IF(INDEX('Attandance Tracker'!$D$3:$AH$50,MATCH($A187,'Attandance Tracker'!$A$3:$A$50,0),DAY($D187))="A","Absent","Leave")),"")</f>
        <v>Present</v>
      </c>
    </row>
    <row r="188" spans="1:9" x14ac:dyDescent="0.25">
      <c r="A188">
        <v>1006</v>
      </c>
      <c r="B188" t="str">
        <f>_xlfn.IFNA(INDEX('Attandance Tracker'!$B$3:$B$30,MATCH($A188,'Attandance Tracker'!$A$3:$A$30,0)),"")</f>
        <v xml:space="preserve"> Anjali</v>
      </c>
      <c r="C188" s="14" t="str">
        <f>_xlfn.IFNA(INDEX('Attandance Tracker'!$C$3:$C$30,MATCH($A188,'Attandance Tracker'!$A$3:$A$30,0)),"")</f>
        <v>Sales</v>
      </c>
      <c r="D188" s="14">
        <v>30</v>
      </c>
      <c r="E188" s="7">
        <v>0.33333333333333331</v>
      </c>
      <c r="F188" s="7">
        <v>0.83333333333333337</v>
      </c>
      <c r="G188" s="7">
        <f t="shared" si="13"/>
        <v>0.33333333333333331</v>
      </c>
      <c r="H188" s="7">
        <f t="shared" si="14"/>
        <v>0.16666666666666669</v>
      </c>
      <c r="I188" t="str">
        <f>IFERROR(IF(INDEX('Attandance Tracker'!$D$3:$AH$50,MATCH($A188,'Attandance Tracker'!$A$3:$A$50,0),DAY($D188))="P","Present",IF(INDEX('Attandance Tracker'!$D$3:$AH$50,MATCH($A188,'Attandance Tracker'!$A$3:$A$50,0),DAY($D188))="A","Absent","Leave")),"")</f>
        <v>Present</v>
      </c>
    </row>
    <row r="189" spans="1:9" x14ac:dyDescent="0.25">
      <c r="A189">
        <v>1006</v>
      </c>
      <c r="B189" t="str">
        <f>_xlfn.IFNA(INDEX('Attandance Tracker'!$B$3:$B$30,MATCH($A189,'Attandance Tracker'!$A$3:$A$30,0)),"")</f>
        <v xml:space="preserve"> Anjali</v>
      </c>
      <c r="C189" s="14" t="str">
        <f>_xlfn.IFNA(INDEX('Attandance Tracker'!$C$3:$C$30,MATCH($A189,'Attandance Tracker'!$A$3:$A$30,0)),"")</f>
        <v>Sales</v>
      </c>
      <c r="D189" s="14">
        <v>31</v>
      </c>
      <c r="E189" s="7">
        <v>0</v>
      </c>
      <c r="F189" s="7">
        <v>0.79166666666666663</v>
      </c>
      <c r="G189" s="7">
        <f t="shared" si="13"/>
        <v>0.33333333333333331</v>
      </c>
      <c r="H189" s="7">
        <f t="shared" si="14"/>
        <v>0.45833333333333331</v>
      </c>
      <c r="I189" t="str">
        <f>IFERROR(IF(INDEX('Attandance Tracker'!$D$3:$AH$50,MATCH($A189,'Attandance Tracker'!$A$3:$A$50,0),DAY($D189))="P","Present",IF(INDEX('Attandance Tracker'!$D$3:$AH$50,MATCH($A189,'Attandance Tracker'!$A$3:$A$50,0),DAY($D189))="A","Absent","Leave")),"")</f>
        <v>Present</v>
      </c>
    </row>
    <row r="190" spans="1:9" x14ac:dyDescent="0.25">
      <c r="A190">
        <v>1007</v>
      </c>
      <c r="B190" t="str">
        <f>_xlfn.IFNA(INDEX('Attandance Tracker'!$B$3:$B$30,MATCH($A190,'Attandance Tracker'!$A$3:$A$30,0)),"")</f>
        <v xml:space="preserve"> Vikas</v>
      </c>
      <c r="C190" s="14" t="str">
        <f>_xlfn.IFNA(INDEX('Attandance Tracker'!$C$3:$C$30,MATCH($A190,'Attandance Tracker'!$A$3:$A$30,0)),"")</f>
        <v>Operations</v>
      </c>
      <c r="D190" s="10">
        <v>1</v>
      </c>
      <c r="E190" s="7">
        <v>0.33333333333333331</v>
      </c>
      <c r="F190" s="7">
        <v>0.75</v>
      </c>
      <c r="G190" s="7">
        <f t="shared" si="13"/>
        <v>0</v>
      </c>
      <c r="H190" s="7">
        <f t="shared" si="14"/>
        <v>0</v>
      </c>
      <c r="I190" t="str">
        <f>IFERROR(IF(INDEX('Attandance Tracker'!$D$3:$AH$50,MATCH($A190,'Attandance Tracker'!$A$3:$A$50,0),DAY($D190))="P","Present",IF(INDEX('Attandance Tracker'!$D$3:$AH$50,MATCH($A190,'Attandance Tracker'!$A$3:$A$50,0),DAY($D190))="A","Absent","Leave")),"")</f>
        <v>Leave</v>
      </c>
    </row>
    <row r="191" spans="1:9" x14ac:dyDescent="0.25">
      <c r="A191">
        <v>1007</v>
      </c>
      <c r="B191" t="str">
        <f>_xlfn.IFNA(INDEX('Attandance Tracker'!$B$3:$B$30,MATCH($A191,'Attandance Tracker'!$A$3:$A$30,0)),"")</f>
        <v xml:space="preserve"> Vikas</v>
      </c>
      <c r="C191" s="14" t="str">
        <f>_xlfn.IFNA(INDEX('Attandance Tracker'!$C$3:$C$30,MATCH($A191,'Attandance Tracker'!$A$3:$A$30,0)),"")</f>
        <v>Operations</v>
      </c>
      <c r="D191" s="14">
        <v>2</v>
      </c>
      <c r="E191" s="7">
        <v>0.33333333333333331</v>
      </c>
      <c r="F191" s="7">
        <v>0.83333333333333337</v>
      </c>
      <c r="G191" s="7">
        <f t="shared" si="13"/>
        <v>0</v>
      </c>
      <c r="H191" s="7">
        <f t="shared" si="14"/>
        <v>0</v>
      </c>
      <c r="I191" t="str">
        <f>IFERROR(IF(INDEX('Attandance Tracker'!$D$3:$AH$50,MATCH($A191,'Attandance Tracker'!$A$3:$A$50,0),DAY($D191))="P","Present",IF(INDEX('Attandance Tracker'!$D$3:$AH$50,MATCH($A191,'Attandance Tracker'!$A$3:$A$50,0),DAY($D191))="A","Absent","Leave")),"")</f>
        <v>Leave</v>
      </c>
    </row>
    <row r="192" spans="1:9" x14ac:dyDescent="0.25">
      <c r="A192">
        <v>1007</v>
      </c>
      <c r="B192" t="str">
        <f>_xlfn.IFNA(INDEX('Attandance Tracker'!$B$3:$B$30,MATCH($A192,'Attandance Tracker'!$A$3:$A$30,0)),"")</f>
        <v xml:space="preserve"> Vikas</v>
      </c>
      <c r="C192" s="14" t="str">
        <f>_xlfn.IFNA(INDEX('Attandance Tracker'!$C$3:$C$30,MATCH($A192,'Attandance Tracker'!$A$3:$A$30,0)),"")</f>
        <v>Operations</v>
      </c>
      <c r="D192" s="14">
        <v>3</v>
      </c>
      <c r="E192" s="7">
        <v>0.33333333333333331</v>
      </c>
      <c r="F192" s="7">
        <v>0.83333333333333337</v>
      </c>
      <c r="G192" s="7">
        <f t="shared" si="13"/>
        <v>0</v>
      </c>
      <c r="H192" s="7">
        <f t="shared" si="14"/>
        <v>0</v>
      </c>
      <c r="I192" t="str">
        <f>IFERROR(IF(INDEX('Attandance Tracker'!$D$3:$AH$50,MATCH($A192,'Attandance Tracker'!$A$3:$A$50,0),DAY($D192))="P","Present",IF(INDEX('Attandance Tracker'!$D$3:$AH$50,MATCH($A192,'Attandance Tracker'!$A$3:$A$50,0),DAY($D192))="A","Absent","Leave")),"")</f>
        <v>Leave</v>
      </c>
    </row>
    <row r="193" spans="1:9" x14ac:dyDescent="0.25">
      <c r="A193">
        <v>1007</v>
      </c>
      <c r="B193" t="str">
        <f>_xlfn.IFNA(INDEX('Attandance Tracker'!$B$3:$B$30,MATCH($A193,'Attandance Tracker'!$A$3:$A$30,0)),"")</f>
        <v xml:space="preserve"> Vikas</v>
      </c>
      <c r="C193" s="14" t="str">
        <f>_xlfn.IFNA(INDEX('Attandance Tracker'!$C$3:$C$30,MATCH($A193,'Attandance Tracker'!$A$3:$A$30,0)),"")</f>
        <v>Operations</v>
      </c>
      <c r="D193" s="14">
        <v>4</v>
      </c>
      <c r="E193" s="7">
        <v>0.375</v>
      </c>
      <c r="F193" s="7">
        <v>0.83333333333333337</v>
      </c>
      <c r="G193" s="7">
        <f t="shared" si="13"/>
        <v>0</v>
      </c>
      <c r="H193" s="7">
        <f t="shared" si="14"/>
        <v>0</v>
      </c>
      <c r="I193" t="str">
        <f>IFERROR(IF(INDEX('Attandance Tracker'!$D$3:$AH$50,MATCH($A193,'Attandance Tracker'!$A$3:$A$50,0),DAY($D193))="P","Present",IF(INDEX('Attandance Tracker'!$D$3:$AH$50,MATCH($A193,'Attandance Tracker'!$A$3:$A$50,0),DAY($D193))="A","Absent","Leave")),"")</f>
        <v>Leave</v>
      </c>
    </row>
    <row r="194" spans="1:9" x14ac:dyDescent="0.25">
      <c r="A194">
        <v>1007</v>
      </c>
      <c r="B194" t="str">
        <f>_xlfn.IFNA(INDEX('Attandance Tracker'!$B$3:$B$30,MATCH($A194,'Attandance Tracker'!$A$3:$A$30,0)),"")</f>
        <v xml:space="preserve"> Vikas</v>
      </c>
      <c r="C194" s="14" t="str">
        <f>_xlfn.IFNA(INDEX('Attandance Tracker'!$C$3:$C$30,MATCH($A194,'Attandance Tracker'!$A$3:$A$30,0)),"")</f>
        <v>Operations</v>
      </c>
      <c r="D194" s="14">
        <v>5</v>
      </c>
      <c r="E194" s="7">
        <v>0.375</v>
      </c>
      <c r="F194" s="7">
        <v>0.83333333333333337</v>
      </c>
      <c r="G194" s="7">
        <f t="shared" si="13"/>
        <v>0.33333333333333331</v>
      </c>
      <c r="H194" s="7">
        <f t="shared" si="14"/>
        <v>0.12500000000000006</v>
      </c>
      <c r="I194" t="str">
        <f>IFERROR(IF(INDEX('Attandance Tracker'!$D$3:$AH$50,MATCH($A194,'Attandance Tracker'!$A$3:$A$50,0),DAY($D194))="P","Present",IF(INDEX('Attandance Tracker'!$D$3:$AH$50,MATCH($A194,'Attandance Tracker'!$A$3:$A$50,0),DAY($D194))="A","Absent","Leave")),"")</f>
        <v>Present</v>
      </c>
    </row>
    <row r="195" spans="1:9" x14ac:dyDescent="0.25">
      <c r="A195">
        <v>1007</v>
      </c>
      <c r="B195" t="str">
        <f>_xlfn.IFNA(INDEX('Attandance Tracker'!$B$3:$B$30,MATCH($A195,'Attandance Tracker'!$A$3:$A$30,0)),"")</f>
        <v xml:space="preserve"> Vikas</v>
      </c>
      <c r="C195" s="14" t="str">
        <f>_xlfn.IFNA(INDEX('Attandance Tracker'!$C$3:$C$30,MATCH($A195,'Attandance Tracker'!$A$3:$A$30,0)),"")</f>
        <v>Operations</v>
      </c>
      <c r="D195" s="14">
        <v>6</v>
      </c>
      <c r="E195" s="7">
        <v>0.375</v>
      </c>
      <c r="F195" s="7">
        <v>0.79166666666666663</v>
      </c>
      <c r="G195" s="7">
        <f t="shared" si="13"/>
        <v>0.33333333333333331</v>
      </c>
      <c r="H195" s="7">
        <f t="shared" si="14"/>
        <v>8.3333333333333315E-2</v>
      </c>
      <c r="I195" t="str">
        <f>IFERROR(IF(INDEX('Attandance Tracker'!$D$3:$AH$50,MATCH($A195,'Attandance Tracker'!$A$3:$A$50,0),DAY($D195))="P","Present",IF(INDEX('Attandance Tracker'!$D$3:$AH$50,MATCH($A195,'Attandance Tracker'!$A$3:$A$50,0),DAY($D195))="A","Absent","Leave")),"")</f>
        <v>Present</v>
      </c>
    </row>
    <row r="196" spans="1:9" x14ac:dyDescent="0.25">
      <c r="A196">
        <v>1007</v>
      </c>
      <c r="B196" t="str">
        <f>_xlfn.IFNA(INDEX('Attandance Tracker'!$B$3:$B$30,MATCH($A196,'Attandance Tracker'!$A$3:$A$30,0)),"")</f>
        <v xml:space="preserve"> Vikas</v>
      </c>
      <c r="C196" s="14" t="str">
        <f>_xlfn.IFNA(INDEX('Attandance Tracker'!$C$3:$C$30,MATCH($A196,'Attandance Tracker'!$A$3:$A$30,0)),"")</f>
        <v>Operations</v>
      </c>
      <c r="D196" s="14">
        <v>7</v>
      </c>
      <c r="E196" s="7">
        <v>0.33333333333333331</v>
      </c>
      <c r="F196" s="7">
        <v>0.75</v>
      </c>
      <c r="G196" s="7">
        <f t="shared" si="13"/>
        <v>0.33333333333333331</v>
      </c>
      <c r="H196" s="7">
        <f t="shared" si="14"/>
        <v>8.333333333333337E-2</v>
      </c>
      <c r="I196" t="str">
        <f>IFERROR(IF(INDEX('Attandance Tracker'!$D$3:$AH$50,MATCH($A196,'Attandance Tracker'!$A$3:$A$50,0),DAY($D196))="P","Present",IF(INDEX('Attandance Tracker'!$D$3:$AH$50,MATCH($A196,'Attandance Tracker'!$A$3:$A$50,0),DAY($D196))="A","Absent","Leave")),"")</f>
        <v>Present</v>
      </c>
    </row>
    <row r="197" spans="1:9" x14ac:dyDescent="0.25">
      <c r="A197">
        <v>1007</v>
      </c>
      <c r="B197" t="str">
        <f>_xlfn.IFNA(INDEX('Attandance Tracker'!$B$3:$B$30,MATCH($A197,'Attandance Tracker'!$A$3:$A$30,0)),"")</f>
        <v xml:space="preserve"> Vikas</v>
      </c>
      <c r="C197" s="14" t="str">
        <f>_xlfn.IFNA(INDEX('Attandance Tracker'!$C$3:$C$30,MATCH($A197,'Attandance Tracker'!$A$3:$A$30,0)),"")</f>
        <v>Operations</v>
      </c>
      <c r="D197" s="14">
        <v>8</v>
      </c>
      <c r="E197" s="7">
        <v>0.33333333333333331</v>
      </c>
      <c r="F197" s="7">
        <v>0.83333333333333337</v>
      </c>
      <c r="G197" s="7">
        <f t="shared" ref="G197:G260" si="15">IF(I197="Present",MIN(F197-E197,8/24),IF(I197="Absent",8/24,0))</f>
        <v>0.33333333333333331</v>
      </c>
      <c r="H197" s="7">
        <f t="shared" ref="H197:H260" si="16">IF(I197="Present",MAX(0,F197-E197-8/24),0)</f>
        <v>0.16666666666666669</v>
      </c>
      <c r="I197" t="str">
        <f>IFERROR(IF(INDEX('Attandance Tracker'!$D$3:$AH$50,MATCH($A197,'Attandance Tracker'!$A$3:$A$50,0),DAY($D197))="P","Present",IF(INDEX('Attandance Tracker'!$D$3:$AH$50,MATCH($A197,'Attandance Tracker'!$A$3:$A$50,0),DAY($D197))="A","Absent","Leave")),"")</f>
        <v>Present</v>
      </c>
    </row>
    <row r="198" spans="1:9" x14ac:dyDescent="0.25">
      <c r="A198">
        <v>1007</v>
      </c>
      <c r="B198" t="str">
        <f>_xlfn.IFNA(INDEX('Attandance Tracker'!$B$3:$B$30,MATCH($A198,'Attandance Tracker'!$A$3:$A$30,0)),"")</f>
        <v xml:space="preserve"> Vikas</v>
      </c>
      <c r="C198" s="14" t="str">
        <f>_xlfn.IFNA(INDEX('Attandance Tracker'!$C$3:$C$30,MATCH($A198,'Attandance Tracker'!$A$3:$A$30,0)),"")</f>
        <v>Operations</v>
      </c>
      <c r="D198" s="14">
        <v>9</v>
      </c>
      <c r="E198" s="7">
        <v>0.33333333333333331</v>
      </c>
      <c r="F198" s="17">
        <v>0.75</v>
      </c>
      <c r="G198" s="7">
        <f t="shared" si="15"/>
        <v>0.33333333333333331</v>
      </c>
      <c r="H198" s="7">
        <f t="shared" si="16"/>
        <v>8.333333333333337E-2</v>
      </c>
      <c r="I198" t="str">
        <f>IFERROR(IF(INDEX('Attandance Tracker'!$D$3:$AH$50,MATCH($A198,'Attandance Tracker'!$A$3:$A$50,0),DAY($D198))="P","Present",IF(INDEX('Attandance Tracker'!$D$3:$AH$50,MATCH($A198,'Attandance Tracker'!$A$3:$A$50,0),DAY($D198))="A","Absent","Leave")),"")</f>
        <v>Present</v>
      </c>
    </row>
    <row r="199" spans="1:9" x14ac:dyDescent="0.25">
      <c r="A199">
        <v>1007</v>
      </c>
      <c r="B199" t="str">
        <f>_xlfn.IFNA(INDEX('Attandance Tracker'!$B$3:$B$30,MATCH($A199,'Attandance Tracker'!$A$3:$A$30,0)),"")</f>
        <v xml:space="preserve"> Vikas</v>
      </c>
      <c r="C199" s="14" t="str">
        <f>_xlfn.IFNA(INDEX('Attandance Tracker'!$C$3:$C$30,MATCH($A199,'Attandance Tracker'!$A$3:$A$30,0)),"")</f>
        <v>Operations</v>
      </c>
      <c r="D199" s="14">
        <v>10</v>
      </c>
      <c r="E199" s="7">
        <v>0.33333333333333331</v>
      </c>
      <c r="F199" s="7">
        <v>0.83333333333333337</v>
      </c>
      <c r="G199" s="7">
        <f t="shared" si="15"/>
        <v>0.33333333333333331</v>
      </c>
      <c r="H199" s="7">
        <f t="shared" si="16"/>
        <v>0.16666666666666669</v>
      </c>
      <c r="I199" t="str">
        <f>IFERROR(IF(INDEX('Attandance Tracker'!$D$3:$AH$50,MATCH($A199,'Attandance Tracker'!$A$3:$A$50,0),DAY($D199))="P","Present",IF(INDEX('Attandance Tracker'!$D$3:$AH$50,MATCH($A199,'Attandance Tracker'!$A$3:$A$50,0),DAY($D199))="A","Absent","Leave")),"")</f>
        <v>Present</v>
      </c>
    </row>
    <row r="200" spans="1:9" x14ac:dyDescent="0.25">
      <c r="A200">
        <v>1007</v>
      </c>
      <c r="B200" t="str">
        <f>_xlfn.IFNA(INDEX('Attandance Tracker'!$B$3:$B$30,MATCH($A200,'Attandance Tracker'!$A$3:$A$30,0)),"")</f>
        <v xml:space="preserve"> Vikas</v>
      </c>
      <c r="C200" s="14" t="str">
        <f>_xlfn.IFNA(INDEX('Attandance Tracker'!$C$3:$C$30,MATCH($A200,'Attandance Tracker'!$A$3:$A$30,0)),"")</f>
        <v>Operations</v>
      </c>
      <c r="D200" s="14">
        <v>11</v>
      </c>
      <c r="E200" s="7">
        <v>0.33333333333333331</v>
      </c>
      <c r="F200" s="7">
        <v>0.79166666666666663</v>
      </c>
      <c r="G200" s="7">
        <f t="shared" si="15"/>
        <v>0.33333333333333331</v>
      </c>
      <c r="H200" s="7">
        <f t="shared" si="16"/>
        <v>0.125</v>
      </c>
      <c r="I200" t="str">
        <f>IFERROR(IF(INDEX('Attandance Tracker'!$D$3:$AH$50,MATCH($A200,'Attandance Tracker'!$A$3:$A$50,0),DAY($D200))="P","Present",IF(INDEX('Attandance Tracker'!$D$3:$AH$50,MATCH($A200,'Attandance Tracker'!$A$3:$A$50,0),DAY($D200))="A","Absent","Leave")),"")</f>
        <v>Present</v>
      </c>
    </row>
    <row r="201" spans="1:9" x14ac:dyDescent="0.25">
      <c r="A201">
        <v>1007</v>
      </c>
      <c r="B201" t="str">
        <f>_xlfn.IFNA(INDEX('Attandance Tracker'!$B$3:$B$30,MATCH($A201,'Attandance Tracker'!$A$3:$A$30,0)),"")</f>
        <v xml:space="preserve"> Vikas</v>
      </c>
      <c r="C201" s="14" t="str">
        <f>_xlfn.IFNA(INDEX('Attandance Tracker'!$C$3:$C$30,MATCH($A201,'Attandance Tracker'!$A$3:$A$30,0)),"")</f>
        <v>Operations</v>
      </c>
      <c r="D201" s="14">
        <v>12</v>
      </c>
      <c r="E201" s="7">
        <v>0.33333333333333331</v>
      </c>
      <c r="F201" s="7">
        <v>0.75</v>
      </c>
      <c r="G201" s="7">
        <f t="shared" si="15"/>
        <v>0.33333333333333331</v>
      </c>
      <c r="H201" s="7">
        <f t="shared" si="16"/>
        <v>8.333333333333337E-2</v>
      </c>
      <c r="I201" t="str">
        <f>IFERROR(IF(INDEX('Attandance Tracker'!$D$3:$AH$50,MATCH($A201,'Attandance Tracker'!$A$3:$A$50,0),DAY($D201))="P","Present",IF(INDEX('Attandance Tracker'!$D$3:$AH$50,MATCH($A201,'Attandance Tracker'!$A$3:$A$50,0),DAY($D201))="A","Absent","Leave")),"")</f>
        <v>Present</v>
      </c>
    </row>
    <row r="202" spans="1:9" x14ac:dyDescent="0.25">
      <c r="A202">
        <v>1007</v>
      </c>
      <c r="B202" t="str">
        <f>_xlfn.IFNA(INDEX('Attandance Tracker'!$B$3:$B$30,MATCH($A202,'Attandance Tracker'!$A$3:$A$30,0)),"")</f>
        <v xml:space="preserve"> Vikas</v>
      </c>
      <c r="C202" s="14" t="str">
        <f>_xlfn.IFNA(INDEX('Attandance Tracker'!$C$3:$C$30,MATCH($A202,'Attandance Tracker'!$A$3:$A$30,0)),"")</f>
        <v>Operations</v>
      </c>
      <c r="D202" s="14">
        <v>13</v>
      </c>
      <c r="E202" s="7">
        <v>0.33333333333333331</v>
      </c>
      <c r="F202" s="7">
        <v>0.83333333333333337</v>
      </c>
      <c r="G202" s="7">
        <f t="shared" si="15"/>
        <v>0.33333333333333331</v>
      </c>
      <c r="H202" s="7">
        <f t="shared" si="16"/>
        <v>0.16666666666666669</v>
      </c>
      <c r="I202" t="str">
        <f>IFERROR(IF(INDEX('Attandance Tracker'!$D$3:$AH$50,MATCH($A202,'Attandance Tracker'!$A$3:$A$50,0),DAY($D202))="P","Present",IF(INDEX('Attandance Tracker'!$D$3:$AH$50,MATCH($A202,'Attandance Tracker'!$A$3:$A$50,0),DAY($D202))="A","Absent","Leave")),"")</f>
        <v>Present</v>
      </c>
    </row>
    <row r="203" spans="1:9" x14ac:dyDescent="0.25">
      <c r="A203">
        <v>1007</v>
      </c>
      <c r="B203" t="str">
        <f>_xlfn.IFNA(INDEX('Attandance Tracker'!$B$3:$B$30,MATCH($A203,'Attandance Tracker'!$A$3:$A$30,0)),"")</f>
        <v xml:space="preserve"> Vikas</v>
      </c>
      <c r="C203" s="14" t="str">
        <f>_xlfn.IFNA(INDEX('Attandance Tracker'!$C$3:$C$30,MATCH($A203,'Attandance Tracker'!$A$3:$A$30,0)),"")</f>
        <v>Operations</v>
      </c>
      <c r="D203" s="14">
        <v>14</v>
      </c>
      <c r="E203" s="7">
        <v>0.375</v>
      </c>
      <c r="F203" s="7">
        <v>0.83333333333333337</v>
      </c>
      <c r="G203" s="7">
        <f t="shared" si="15"/>
        <v>0.33333333333333331</v>
      </c>
      <c r="H203" s="7">
        <f t="shared" si="16"/>
        <v>0.12500000000000006</v>
      </c>
      <c r="I203" t="str">
        <f>IFERROR(IF(INDEX('Attandance Tracker'!$D$3:$AH$50,MATCH($A203,'Attandance Tracker'!$A$3:$A$50,0),DAY($D203))="P","Present",IF(INDEX('Attandance Tracker'!$D$3:$AH$50,MATCH($A203,'Attandance Tracker'!$A$3:$A$50,0),DAY($D203))="A","Absent","Leave")),"")</f>
        <v>Present</v>
      </c>
    </row>
    <row r="204" spans="1:9" x14ac:dyDescent="0.25">
      <c r="A204">
        <v>1007</v>
      </c>
      <c r="B204" t="str">
        <f>_xlfn.IFNA(INDEX('Attandance Tracker'!$B$3:$B$30,MATCH($A204,'Attandance Tracker'!$A$3:$A$30,0)),"")</f>
        <v xml:space="preserve"> Vikas</v>
      </c>
      <c r="C204" s="14" t="str">
        <f>_xlfn.IFNA(INDEX('Attandance Tracker'!$C$3:$C$30,MATCH($A204,'Attandance Tracker'!$A$3:$A$30,0)),"")</f>
        <v>Operations</v>
      </c>
      <c r="D204" s="14">
        <v>15</v>
      </c>
      <c r="E204" s="7">
        <v>0.375</v>
      </c>
      <c r="F204" s="7">
        <v>0.79166666666666663</v>
      </c>
      <c r="G204" s="7">
        <f t="shared" si="15"/>
        <v>0.33333333333333331</v>
      </c>
      <c r="H204" s="7">
        <f t="shared" si="16"/>
        <v>8.3333333333333315E-2</v>
      </c>
      <c r="I204" t="str">
        <f>IFERROR(IF(INDEX('Attandance Tracker'!$D$3:$AH$50,MATCH($A204,'Attandance Tracker'!$A$3:$A$50,0),DAY($D204))="P","Present",IF(INDEX('Attandance Tracker'!$D$3:$AH$50,MATCH($A204,'Attandance Tracker'!$A$3:$A$50,0),DAY($D204))="A","Absent","Leave")),"")</f>
        <v>Present</v>
      </c>
    </row>
    <row r="205" spans="1:9" x14ac:dyDescent="0.25">
      <c r="A205">
        <v>1007</v>
      </c>
      <c r="B205" t="str">
        <f>_xlfn.IFNA(INDEX('Attandance Tracker'!$B$3:$B$30,MATCH($A205,'Attandance Tracker'!$A$3:$A$30,0)),"")</f>
        <v xml:space="preserve"> Vikas</v>
      </c>
      <c r="C205" s="14" t="str">
        <f>_xlfn.IFNA(INDEX('Attandance Tracker'!$C$3:$C$30,MATCH($A205,'Attandance Tracker'!$A$3:$A$30,0)),"")</f>
        <v>Operations</v>
      </c>
      <c r="D205" s="14">
        <v>16</v>
      </c>
      <c r="E205" s="7">
        <v>0.375</v>
      </c>
      <c r="F205" s="7">
        <v>0.83333333333333337</v>
      </c>
      <c r="G205" s="7">
        <f t="shared" si="15"/>
        <v>0.33333333333333331</v>
      </c>
      <c r="H205" s="7">
        <f t="shared" si="16"/>
        <v>0.12500000000000006</v>
      </c>
      <c r="I205" t="str">
        <f>IFERROR(IF(INDEX('Attandance Tracker'!$D$3:$AH$50,MATCH($A205,'Attandance Tracker'!$A$3:$A$50,0),DAY($D205))="P","Present",IF(INDEX('Attandance Tracker'!$D$3:$AH$50,MATCH($A205,'Attandance Tracker'!$A$3:$A$50,0),DAY($D205))="A","Absent","Leave")),"")</f>
        <v>Present</v>
      </c>
    </row>
    <row r="206" spans="1:9" x14ac:dyDescent="0.25">
      <c r="A206">
        <v>1007</v>
      </c>
      <c r="B206" t="str">
        <f>_xlfn.IFNA(INDEX('Attandance Tracker'!$B$3:$B$30,MATCH($A206,'Attandance Tracker'!$A$3:$A$30,0)),"")</f>
        <v xml:space="preserve"> Vikas</v>
      </c>
      <c r="C206" s="14" t="str">
        <f>_xlfn.IFNA(INDEX('Attandance Tracker'!$C$3:$C$30,MATCH($A206,'Attandance Tracker'!$A$3:$A$30,0)),"")</f>
        <v>Operations</v>
      </c>
      <c r="D206" s="14">
        <v>17</v>
      </c>
      <c r="E206" s="7">
        <v>0.33333333333333331</v>
      </c>
      <c r="F206" s="7">
        <v>0.83333333333333337</v>
      </c>
      <c r="G206" s="7">
        <f t="shared" si="15"/>
        <v>0.33333333333333331</v>
      </c>
      <c r="H206" s="7">
        <f t="shared" si="16"/>
        <v>0.16666666666666669</v>
      </c>
      <c r="I206" t="str">
        <f>IFERROR(IF(INDEX('Attandance Tracker'!$D$3:$AH$50,MATCH($A206,'Attandance Tracker'!$A$3:$A$50,0),DAY($D206))="P","Present",IF(INDEX('Attandance Tracker'!$D$3:$AH$50,MATCH($A206,'Attandance Tracker'!$A$3:$A$50,0),DAY($D206))="A","Absent","Leave")),"")</f>
        <v>Present</v>
      </c>
    </row>
    <row r="207" spans="1:9" x14ac:dyDescent="0.25">
      <c r="A207">
        <v>1007</v>
      </c>
      <c r="B207" t="str">
        <f>_xlfn.IFNA(INDEX('Attandance Tracker'!$B$3:$B$30,MATCH($A207,'Attandance Tracker'!$A$3:$A$30,0)),"")</f>
        <v xml:space="preserve"> Vikas</v>
      </c>
      <c r="C207" s="14" t="str">
        <f>_xlfn.IFNA(INDEX('Attandance Tracker'!$C$3:$C$30,MATCH($A207,'Attandance Tracker'!$A$3:$A$30,0)),"")</f>
        <v>Operations</v>
      </c>
      <c r="D207" s="14">
        <v>18</v>
      </c>
      <c r="E207" s="7">
        <v>0.33333333333333331</v>
      </c>
      <c r="F207" s="7">
        <v>0.79166666666666663</v>
      </c>
      <c r="G207" s="7">
        <f t="shared" si="15"/>
        <v>0.33333333333333331</v>
      </c>
      <c r="H207" s="7">
        <f t="shared" si="16"/>
        <v>0.125</v>
      </c>
      <c r="I207" t="str">
        <f>IFERROR(IF(INDEX('Attandance Tracker'!$D$3:$AH$50,MATCH($A207,'Attandance Tracker'!$A$3:$A$50,0),DAY($D207))="P","Present",IF(INDEX('Attandance Tracker'!$D$3:$AH$50,MATCH($A207,'Attandance Tracker'!$A$3:$A$50,0),DAY($D207))="A","Absent","Leave")),"")</f>
        <v>Present</v>
      </c>
    </row>
    <row r="208" spans="1:9" x14ac:dyDescent="0.25">
      <c r="A208">
        <v>1007</v>
      </c>
      <c r="B208" t="str">
        <f>_xlfn.IFNA(INDEX('Attandance Tracker'!$B$3:$B$30,MATCH($A208,'Attandance Tracker'!$A$3:$A$30,0)),"")</f>
        <v xml:space="preserve"> Vikas</v>
      </c>
      <c r="C208" s="14" t="str">
        <f>_xlfn.IFNA(INDEX('Attandance Tracker'!$C$3:$C$30,MATCH($A208,'Attandance Tracker'!$A$3:$A$30,0)),"")</f>
        <v>Operations</v>
      </c>
      <c r="D208" s="14">
        <v>19</v>
      </c>
      <c r="E208" s="7">
        <v>0.33333333333333331</v>
      </c>
      <c r="F208" s="7">
        <v>0.83333333333333337</v>
      </c>
      <c r="G208" s="7">
        <f t="shared" si="15"/>
        <v>0.33333333333333331</v>
      </c>
      <c r="H208" s="7">
        <f t="shared" si="16"/>
        <v>0.16666666666666669</v>
      </c>
      <c r="I208" t="str">
        <f>IFERROR(IF(INDEX('Attandance Tracker'!$D$3:$AH$50,MATCH($A208,'Attandance Tracker'!$A$3:$A$50,0),DAY($D208))="P","Present",IF(INDEX('Attandance Tracker'!$D$3:$AH$50,MATCH($A208,'Attandance Tracker'!$A$3:$A$50,0),DAY($D208))="A","Absent","Leave")),"")</f>
        <v>Present</v>
      </c>
    </row>
    <row r="209" spans="1:9" x14ac:dyDescent="0.25">
      <c r="A209">
        <v>1007</v>
      </c>
      <c r="B209" t="str">
        <f>_xlfn.IFNA(INDEX('Attandance Tracker'!$B$3:$B$30,MATCH($A209,'Attandance Tracker'!$A$3:$A$30,0)),"")</f>
        <v xml:space="preserve"> Vikas</v>
      </c>
      <c r="C209" s="14" t="str">
        <f>_xlfn.IFNA(INDEX('Attandance Tracker'!$C$3:$C$30,MATCH($A209,'Attandance Tracker'!$A$3:$A$30,0)),"")</f>
        <v>Operations</v>
      </c>
      <c r="D209" s="14">
        <v>20</v>
      </c>
      <c r="E209" s="7">
        <v>0.33333333333333331</v>
      </c>
      <c r="F209" s="7">
        <v>0.75</v>
      </c>
      <c r="G209" s="7">
        <f t="shared" si="15"/>
        <v>0.33333333333333331</v>
      </c>
      <c r="H209" s="7">
        <f t="shared" si="16"/>
        <v>8.333333333333337E-2</v>
      </c>
      <c r="I209" t="str">
        <f>IFERROR(IF(INDEX('Attandance Tracker'!$D$3:$AH$50,MATCH($A209,'Attandance Tracker'!$A$3:$A$50,0),DAY($D209))="P","Present",IF(INDEX('Attandance Tracker'!$D$3:$AH$50,MATCH($A209,'Attandance Tracker'!$A$3:$A$50,0),DAY($D209))="A","Absent","Leave")),"")</f>
        <v>Present</v>
      </c>
    </row>
    <row r="210" spans="1:9" x14ac:dyDescent="0.25">
      <c r="A210">
        <v>1007</v>
      </c>
      <c r="B210" t="str">
        <f>_xlfn.IFNA(INDEX('Attandance Tracker'!$B$3:$B$30,MATCH($A210,'Attandance Tracker'!$A$3:$A$30,0)),"")</f>
        <v xml:space="preserve"> Vikas</v>
      </c>
      <c r="C210" s="14" t="str">
        <f>_xlfn.IFNA(INDEX('Attandance Tracker'!$C$3:$C$30,MATCH($A210,'Attandance Tracker'!$A$3:$A$30,0)),"")</f>
        <v>Operations</v>
      </c>
      <c r="D210" s="14">
        <v>21</v>
      </c>
      <c r="E210" s="7">
        <v>0.375</v>
      </c>
      <c r="F210" s="7">
        <v>0.83333333333333337</v>
      </c>
      <c r="G210" s="7">
        <f t="shared" si="15"/>
        <v>0.33333333333333331</v>
      </c>
      <c r="H210" s="7">
        <f t="shared" si="16"/>
        <v>0.12500000000000006</v>
      </c>
      <c r="I210" t="str">
        <f>IFERROR(IF(INDEX('Attandance Tracker'!$D$3:$AH$50,MATCH($A210,'Attandance Tracker'!$A$3:$A$50,0),DAY($D210))="P","Present",IF(INDEX('Attandance Tracker'!$D$3:$AH$50,MATCH($A210,'Attandance Tracker'!$A$3:$A$50,0),DAY($D210))="A","Absent","Leave")),"")</f>
        <v>Present</v>
      </c>
    </row>
    <row r="211" spans="1:9" x14ac:dyDescent="0.25">
      <c r="A211">
        <v>1007</v>
      </c>
      <c r="B211" t="str">
        <f>_xlfn.IFNA(INDEX('Attandance Tracker'!$B$3:$B$30,MATCH($A211,'Attandance Tracker'!$A$3:$A$30,0)),"")</f>
        <v xml:space="preserve"> Vikas</v>
      </c>
      <c r="C211" s="14" t="str">
        <f>_xlfn.IFNA(INDEX('Attandance Tracker'!$C$3:$C$30,MATCH($A211,'Attandance Tracker'!$A$3:$A$30,0)),"")</f>
        <v>Operations</v>
      </c>
      <c r="D211" s="14">
        <v>22</v>
      </c>
      <c r="E211" s="7">
        <v>0.375</v>
      </c>
      <c r="F211" s="7">
        <v>0.83333333333333337</v>
      </c>
      <c r="G211" s="7">
        <f t="shared" si="15"/>
        <v>0.33333333333333331</v>
      </c>
      <c r="H211" s="7">
        <f t="shared" si="16"/>
        <v>0.12500000000000006</v>
      </c>
      <c r="I211" t="str">
        <f>IFERROR(IF(INDEX('Attandance Tracker'!$D$3:$AH$50,MATCH($A211,'Attandance Tracker'!$A$3:$A$50,0),DAY($D211))="P","Present",IF(INDEX('Attandance Tracker'!$D$3:$AH$50,MATCH($A211,'Attandance Tracker'!$A$3:$A$50,0),DAY($D211))="A","Absent","Leave")),"")</f>
        <v>Present</v>
      </c>
    </row>
    <row r="212" spans="1:9" x14ac:dyDescent="0.25">
      <c r="A212">
        <v>1007</v>
      </c>
      <c r="B212" t="str">
        <f>_xlfn.IFNA(INDEX('Attandance Tracker'!$B$3:$B$30,MATCH($A212,'Attandance Tracker'!$A$3:$A$30,0)),"")</f>
        <v xml:space="preserve"> Vikas</v>
      </c>
      <c r="C212" s="14" t="str">
        <f>_xlfn.IFNA(INDEX('Attandance Tracker'!$C$3:$C$30,MATCH($A212,'Attandance Tracker'!$A$3:$A$30,0)),"")</f>
        <v>Operations</v>
      </c>
      <c r="D212" s="14">
        <v>23</v>
      </c>
      <c r="E212" s="7">
        <v>0.375</v>
      </c>
      <c r="F212" s="7">
        <v>0.83333333333333337</v>
      </c>
      <c r="G212" s="7">
        <f t="shared" si="15"/>
        <v>0.33333333333333331</v>
      </c>
      <c r="H212" s="7">
        <f t="shared" si="16"/>
        <v>0.12500000000000006</v>
      </c>
      <c r="I212" t="str">
        <f>IFERROR(IF(INDEX('Attandance Tracker'!$D$3:$AH$50,MATCH($A212,'Attandance Tracker'!$A$3:$A$50,0),DAY($D212))="P","Present",IF(INDEX('Attandance Tracker'!$D$3:$AH$50,MATCH($A212,'Attandance Tracker'!$A$3:$A$50,0),DAY($D212))="A","Absent","Leave")),"")</f>
        <v>Present</v>
      </c>
    </row>
    <row r="213" spans="1:9" x14ac:dyDescent="0.25">
      <c r="A213">
        <v>1007</v>
      </c>
      <c r="B213" t="str">
        <f>_xlfn.IFNA(INDEX('Attandance Tracker'!$B$3:$B$30,MATCH($A213,'Attandance Tracker'!$A$3:$A$30,0)),"")</f>
        <v xml:space="preserve"> Vikas</v>
      </c>
      <c r="C213" s="14" t="str">
        <f>_xlfn.IFNA(INDEX('Attandance Tracker'!$C$3:$C$30,MATCH($A213,'Attandance Tracker'!$A$3:$A$30,0)),"")</f>
        <v>Operations</v>
      </c>
      <c r="D213" s="14">
        <v>24</v>
      </c>
      <c r="E213" s="7">
        <v>0.33333333333333331</v>
      </c>
      <c r="F213" s="7">
        <v>0.83333333333333337</v>
      </c>
      <c r="G213" s="7">
        <f t="shared" si="15"/>
        <v>0.33333333333333331</v>
      </c>
      <c r="H213" s="7">
        <f t="shared" si="16"/>
        <v>0.16666666666666669</v>
      </c>
      <c r="I213" t="str">
        <f>IFERROR(IF(INDEX('Attandance Tracker'!$D$3:$AH$50,MATCH($A213,'Attandance Tracker'!$A$3:$A$50,0),DAY($D213))="P","Present",IF(INDEX('Attandance Tracker'!$D$3:$AH$50,MATCH($A213,'Attandance Tracker'!$A$3:$A$50,0),DAY($D213))="A","Absent","Leave")),"")</f>
        <v>Present</v>
      </c>
    </row>
    <row r="214" spans="1:9" x14ac:dyDescent="0.25">
      <c r="A214">
        <v>1007</v>
      </c>
      <c r="B214" t="str">
        <f>_xlfn.IFNA(INDEX('Attandance Tracker'!$B$3:$B$30,MATCH($A214,'Attandance Tracker'!$A$3:$A$30,0)),"")</f>
        <v xml:space="preserve"> Vikas</v>
      </c>
      <c r="C214" s="14" t="str">
        <f>_xlfn.IFNA(INDEX('Attandance Tracker'!$C$3:$C$30,MATCH($A214,'Attandance Tracker'!$A$3:$A$30,0)),"")</f>
        <v>Operations</v>
      </c>
      <c r="D214" s="14">
        <v>25</v>
      </c>
      <c r="E214" s="7">
        <v>0.33333333333333331</v>
      </c>
      <c r="F214" s="7">
        <v>0.79166666666666663</v>
      </c>
      <c r="G214" s="7">
        <f t="shared" si="15"/>
        <v>0.33333333333333331</v>
      </c>
      <c r="H214" s="7">
        <f t="shared" si="16"/>
        <v>0.125</v>
      </c>
      <c r="I214" t="str">
        <f>IFERROR(IF(INDEX('Attandance Tracker'!$D$3:$AH$50,MATCH($A214,'Attandance Tracker'!$A$3:$A$50,0),DAY($D214))="P","Present",IF(INDEX('Attandance Tracker'!$D$3:$AH$50,MATCH($A214,'Attandance Tracker'!$A$3:$A$50,0),DAY($D214))="A","Absent","Leave")),"")</f>
        <v>Present</v>
      </c>
    </row>
    <row r="215" spans="1:9" x14ac:dyDescent="0.25">
      <c r="A215">
        <v>1007</v>
      </c>
      <c r="B215" t="str">
        <f>_xlfn.IFNA(INDEX('Attandance Tracker'!$B$3:$B$30,MATCH($A215,'Attandance Tracker'!$A$3:$A$30,0)),"")</f>
        <v xml:space="preserve"> Vikas</v>
      </c>
      <c r="C215" s="14" t="str">
        <f>_xlfn.IFNA(INDEX('Attandance Tracker'!$C$3:$C$30,MATCH($A215,'Attandance Tracker'!$A$3:$A$30,0)),"")</f>
        <v>Operations</v>
      </c>
      <c r="D215" s="14">
        <v>26</v>
      </c>
      <c r="E215" s="7">
        <v>0.33333333333333331</v>
      </c>
      <c r="F215" s="7">
        <v>0.75</v>
      </c>
      <c r="G215" s="7">
        <f t="shared" si="15"/>
        <v>0.33333333333333331</v>
      </c>
      <c r="H215" s="7">
        <f t="shared" si="16"/>
        <v>8.333333333333337E-2</v>
      </c>
      <c r="I215" t="str">
        <f>IFERROR(IF(INDEX('Attandance Tracker'!$D$3:$AH$50,MATCH($A215,'Attandance Tracker'!$A$3:$A$50,0),DAY($D215))="P","Present",IF(INDEX('Attandance Tracker'!$D$3:$AH$50,MATCH($A215,'Attandance Tracker'!$A$3:$A$50,0),DAY($D215))="A","Absent","Leave")),"")</f>
        <v>Present</v>
      </c>
    </row>
    <row r="216" spans="1:9" x14ac:dyDescent="0.25">
      <c r="A216">
        <v>1007</v>
      </c>
      <c r="B216" t="str">
        <f>_xlfn.IFNA(INDEX('Attandance Tracker'!$B$3:$B$30,MATCH($A216,'Attandance Tracker'!$A$3:$A$30,0)),"")</f>
        <v xml:space="preserve"> Vikas</v>
      </c>
      <c r="C216" s="14" t="str">
        <f>_xlfn.IFNA(INDEX('Attandance Tracker'!$C$3:$C$30,MATCH($A216,'Attandance Tracker'!$A$3:$A$30,0)),"")</f>
        <v>Operations</v>
      </c>
      <c r="D216" s="14">
        <v>27</v>
      </c>
      <c r="E216" s="7">
        <v>0.33333333333333331</v>
      </c>
      <c r="F216" s="7">
        <v>0.83333333333333337</v>
      </c>
      <c r="G216" s="7">
        <f t="shared" si="15"/>
        <v>0.33333333333333331</v>
      </c>
      <c r="H216" s="7">
        <f t="shared" si="16"/>
        <v>0.16666666666666669</v>
      </c>
      <c r="I216" t="str">
        <f>IFERROR(IF(INDEX('Attandance Tracker'!$D$3:$AH$50,MATCH($A216,'Attandance Tracker'!$A$3:$A$50,0),DAY($D216))="P","Present",IF(INDEX('Attandance Tracker'!$D$3:$AH$50,MATCH($A216,'Attandance Tracker'!$A$3:$A$50,0),DAY($D216))="A","Absent","Leave")),"")</f>
        <v>Present</v>
      </c>
    </row>
    <row r="217" spans="1:9" x14ac:dyDescent="0.25">
      <c r="A217">
        <v>1007</v>
      </c>
      <c r="B217" t="str">
        <f>_xlfn.IFNA(INDEX('Attandance Tracker'!$B$3:$B$30,MATCH($A217,'Attandance Tracker'!$A$3:$A$30,0)),"")</f>
        <v xml:space="preserve"> Vikas</v>
      </c>
      <c r="C217" s="14" t="str">
        <f>_xlfn.IFNA(INDEX('Attandance Tracker'!$C$3:$C$30,MATCH($A217,'Attandance Tracker'!$A$3:$A$30,0)),"")</f>
        <v>Operations</v>
      </c>
      <c r="D217" s="14">
        <v>28</v>
      </c>
      <c r="E217" s="7">
        <v>0.33333333333333331</v>
      </c>
      <c r="F217" s="17">
        <v>0.75</v>
      </c>
      <c r="G217" s="7">
        <f t="shared" si="15"/>
        <v>0.33333333333333331</v>
      </c>
      <c r="H217" s="7">
        <f t="shared" si="16"/>
        <v>8.333333333333337E-2</v>
      </c>
      <c r="I217" t="str">
        <f>IFERROR(IF(INDEX('Attandance Tracker'!$D$3:$AH$50,MATCH($A217,'Attandance Tracker'!$A$3:$A$50,0),DAY($D217))="P","Present",IF(INDEX('Attandance Tracker'!$D$3:$AH$50,MATCH($A217,'Attandance Tracker'!$A$3:$A$50,0),DAY($D217))="A","Absent","Leave")),"")</f>
        <v>Present</v>
      </c>
    </row>
    <row r="218" spans="1:9" x14ac:dyDescent="0.25">
      <c r="A218">
        <v>1007</v>
      </c>
      <c r="B218" t="str">
        <f>_xlfn.IFNA(INDEX('Attandance Tracker'!$B$3:$B$30,MATCH($A218,'Attandance Tracker'!$A$3:$A$30,0)),"")</f>
        <v xml:space="preserve"> Vikas</v>
      </c>
      <c r="C218" s="14" t="str">
        <f>_xlfn.IFNA(INDEX('Attandance Tracker'!$C$3:$C$30,MATCH($A218,'Attandance Tracker'!$A$3:$A$30,0)),"")</f>
        <v>Operations</v>
      </c>
      <c r="D218" s="14">
        <v>29</v>
      </c>
      <c r="E218" s="7">
        <v>0.33333333333333331</v>
      </c>
      <c r="F218" s="7">
        <v>0.83333333333333337</v>
      </c>
      <c r="G218" s="7">
        <f t="shared" si="15"/>
        <v>0.33333333333333331</v>
      </c>
      <c r="H218" s="7">
        <f t="shared" si="16"/>
        <v>0.16666666666666669</v>
      </c>
      <c r="I218" t="str">
        <f>IFERROR(IF(INDEX('Attandance Tracker'!$D$3:$AH$50,MATCH($A218,'Attandance Tracker'!$A$3:$A$50,0),DAY($D218))="P","Present",IF(INDEX('Attandance Tracker'!$D$3:$AH$50,MATCH($A218,'Attandance Tracker'!$A$3:$A$50,0),DAY($D218))="A","Absent","Leave")),"")</f>
        <v>Present</v>
      </c>
    </row>
    <row r="219" spans="1:9" x14ac:dyDescent="0.25">
      <c r="A219">
        <v>1007</v>
      </c>
      <c r="B219" t="str">
        <f>_xlfn.IFNA(INDEX('Attandance Tracker'!$B$3:$B$30,MATCH($A219,'Attandance Tracker'!$A$3:$A$30,0)),"")</f>
        <v xml:space="preserve"> Vikas</v>
      </c>
      <c r="C219" s="14" t="str">
        <f>_xlfn.IFNA(INDEX('Attandance Tracker'!$C$3:$C$30,MATCH($A219,'Attandance Tracker'!$A$3:$A$30,0)),"")</f>
        <v>Operations</v>
      </c>
      <c r="D219" s="14">
        <v>30</v>
      </c>
      <c r="E219" s="7">
        <v>0.33333333333333331</v>
      </c>
      <c r="F219" s="7">
        <v>0.79166666666666663</v>
      </c>
      <c r="G219" s="7">
        <f t="shared" si="15"/>
        <v>0.33333333333333331</v>
      </c>
      <c r="H219" s="7">
        <f t="shared" si="16"/>
        <v>0.125</v>
      </c>
      <c r="I219" t="str">
        <f>IFERROR(IF(INDEX('Attandance Tracker'!$D$3:$AH$50,MATCH($A219,'Attandance Tracker'!$A$3:$A$50,0),DAY($D219))="P","Present",IF(INDEX('Attandance Tracker'!$D$3:$AH$50,MATCH($A219,'Attandance Tracker'!$A$3:$A$50,0),DAY($D219))="A","Absent","Leave")),"")</f>
        <v>Present</v>
      </c>
    </row>
    <row r="220" spans="1:9" x14ac:dyDescent="0.25">
      <c r="A220">
        <v>1007</v>
      </c>
      <c r="B220" t="str">
        <f>_xlfn.IFNA(INDEX('Attandance Tracker'!$B$3:$B$30,MATCH($A220,'Attandance Tracker'!$A$3:$A$30,0)),"")</f>
        <v xml:space="preserve"> Vikas</v>
      </c>
      <c r="C220" s="14" t="str">
        <f>_xlfn.IFNA(INDEX('Attandance Tracker'!$C$3:$C$30,MATCH($A220,'Attandance Tracker'!$A$3:$A$30,0)),"")</f>
        <v>Operations</v>
      </c>
      <c r="D220" s="14">
        <v>31</v>
      </c>
      <c r="E220" s="7">
        <v>0.375</v>
      </c>
      <c r="F220" s="7">
        <v>0.75</v>
      </c>
      <c r="G220" s="7">
        <f t="shared" si="15"/>
        <v>0.33333333333333331</v>
      </c>
      <c r="H220" s="7">
        <f t="shared" si="16"/>
        <v>4.1666666666666685E-2</v>
      </c>
      <c r="I220" t="str">
        <f>IFERROR(IF(INDEX('Attandance Tracker'!$D$3:$AH$50,MATCH($A220,'Attandance Tracker'!$A$3:$A$50,0),DAY($D220))="P","Present",IF(INDEX('Attandance Tracker'!$D$3:$AH$50,MATCH($A220,'Attandance Tracker'!$A$3:$A$50,0),DAY($D220))="A","Absent","Leave")),"")</f>
        <v>Present</v>
      </c>
    </row>
    <row r="221" spans="1:9" x14ac:dyDescent="0.25">
      <c r="A221">
        <v>1008</v>
      </c>
      <c r="B221" t="str">
        <f>_xlfn.IFNA(INDEX('Attandance Tracker'!$B$3:$B$30,MATCH($A221,'Attandance Tracker'!$A$3:$A$30,0)),"")</f>
        <v xml:space="preserve"> Pooja</v>
      </c>
      <c r="C221" s="14" t="str">
        <f>_xlfn.IFNA(INDEX('Attandance Tracker'!$C$3:$C$30,MATCH($A221,'Attandance Tracker'!$A$3:$A$30,0)),"")</f>
        <v>HR</v>
      </c>
      <c r="D221" s="14">
        <v>1</v>
      </c>
      <c r="E221" s="7">
        <v>0.375</v>
      </c>
      <c r="F221" s="7">
        <v>0.83333333333333337</v>
      </c>
      <c r="G221" s="7">
        <f t="shared" si="15"/>
        <v>0.33333333333333331</v>
      </c>
      <c r="H221" s="7">
        <f t="shared" si="16"/>
        <v>0.12500000000000006</v>
      </c>
      <c r="I221" t="str">
        <f>IFERROR(IF(INDEX('Attandance Tracker'!$D$3:$AH$50,MATCH($A221,'Attandance Tracker'!$A$3:$A$50,0),DAY($D221))="P","Present",IF(INDEX('Attandance Tracker'!$D$3:$AH$50,MATCH($A221,'Attandance Tracker'!$A$3:$A$50,0),DAY($D221))="A","Absent","Leave")),"")</f>
        <v>Present</v>
      </c>
    </row>
    <row r="222" spans="1:9" x14ac:dyDescent="0.25">
      <c r="A222">
        <v>1008</v>
      </c>
      <c r="B222" t="str">
        <f>_xlfn.IFNA(INDEX('Attandance Tracker'!$B$3:$B$30,MATCH($A222,'Attandance Tracker'!$A$3:$A$30,0)),"")</f>
        <v xml:space="preserve"> Pooja</v>
      </c>
      <c r="C222" s="14" t="str">
        <f>_xlfn.IFNA(INDEX('Attandance Tracker'!$C$3:$C$30,MATCH($A222,'Attandance Tracker'!$A$3:$A$30,0)),"")</f>
        <v>HR</v>
      </c>
      <c r="D222" s="14">
        <v>2</v>
      </c>
      <c r="E222" s="7">
        <v>0.375</v>
      </c>
      <c r="F222" s="7">
        <v>0.83333333333333337</v>
      </c>
      <c r="G222" s="7">
        <f t="shared" si="15"/>
        <v>0.33333333333333331</v>
      </c>
      <c r="H222" s="7">
        <f t="shared" si="16"/>
        <v>0.12500000000000006</v>
      </c>
      <c r="I222" t="str">
        <f>IFERROR(IF(INDEX('Attandance Tracker'!$D$3:$AH$50,MATCH($A222,'Attandance Tracker'!$A$3:$A$50,0),DAY($D222))="P","Present",IF(INDEX('Attandance Tracker'!$D$3:$AH$50,MATCH($A222,'Attandance Tracker'!$A$3:$A$50,0),DAY($D222))="A","Absent","Leave")),"")</f>
        <v>Present</v>
      </c>
    </row>
    <row r="223" spans="1:9" x14ac:dyDescent="0.25">
      <c r="A223">
        <v>1008</v>
      </c>
      <c r="B223" t="str">
        <f>_xlfn.IFNA(INDEX('Attandance Tracker'!$B$3:$B$30,MATCH($A223,'Attandance Tracker'!$A$3:$A$30,0)),"")</f>
        <v xml:space="preserve"> Pooja</v>
      </c>
      <c r="C223" s="14" t="str">
        <f>_xlfn.IFNA(INDEX('Attandance Tracker'!$C$3:$C$30,MATCH($A223,'Attandance Tracker'!$A$3:$A$30,0)),"")</f>
        <v>HR</v>
      </c>
      <c r="D223" s="14">
        <v>3</v>
      </c>
      <c r="E223" s="7">
        <v>0.33333333333333331</v>
      </c>
      <c r="F223" s="7">
        <v>0.79166666666666663</v>
      </c>
      <c r="G223" s="7">
        <f t="shared" si="15"/>
        <v>0.33333333333333331</v>
      </c>
      <c r="H223" s="7">
        <f t="shared" si="16"/>
        <v>0.125</v>
      </c>
      <c r="I223" t="str">
        <f>IFERROR(IF(INDEX('Attandance Tracker'!$D$3:$AH$50,MATCH($A223,'Attandance Tracker'!$A$3:$A$50,0),DAY($D223))="P","Present",IF(INDEX('Attandance Tracker'!$D$3:$AH$50,MATCH($A223,'Attandance Tracker'!$A$3:$A$50,0),DAY($D223))="A","Absent","Leave")),"")</f>
        <v>Present</v>
      </c>
    </row>
    <row r="224" spans="1:9" x14ac:dyDescent="0.25">
      <c r="A224">
        <v>1008</v>
      </c>
      <c r="B224" t="str">
        <f>_xlfn.IFNA(INDEX('Attandance Tracker'!$B$3:$B$30,MATCH($A224,'Attandance Tracker'!$A$3:$A$30,0)),"")</f>
        <v xml:space="preserve"> Pooja</v>
      </c>
      <c r="C224" s="14" t="str">
        <f>_xlfn.IFNA(INDEX('Attandance Tracker'!$C$3:$C$30,MATCH($A224,'Attandance Tracker'!$A$3:$A$30,0)),"")</f>
        <v>HR</v>
      </c>
      <c r="D224" s="14">
        <v>4</v>
      </c>
      <c r="E224" s="7">
        <v>0.33333333333333331</v>
      </c>
      <c r="F224" s="7">
        <v>0.83333333333333337</v>
      </c>
      <c r="G224" s="7">
        <f t="shared" si="15"/>
        <v>0.33333333333333331</v>
      </c>
      <c r="H224" s="7">
        <f t="shared" si="16"/>
        <v>0.16666666666666669</v>
      </c>
      <c r="I224" t="str">
        <f>IFERROR(IF(INDEX('Attandance Tracker'!$D$3:$AH$50,MATCH($A224,'Attandance Tracker'!$A$3:$A$50,0),DAY($D224))="P","Present",IF(INDEX('Attandance Tracker'!$D$3:$AH$50,MATCH($A224,'Attandance Tracker'!$A$3:$A$50,0),DAY($D224))="A","Absent","Leave")),"")</f>
        <v>Present</v>
      </c>
    </row>
    <row r="225" spans="1:9" x14ac:dyDescent="0.25">
      <c r="A225">
        <v>1008</v>
      </c>
      <c r="B225" t="str">
        <f>_xlfn.IFNA(INDEX('Attandance Tracker'!$B$3:$B$30,MATCH($A225,'Attandance Tracker'!$A$3:$A$30,0)),"")</f>
        <v xml:space="preserve"> Pooja</v>
      </c>
      <c r="C225" s="14" t="str">
        <f>_xlfn.IFNA(INDEX('Attandance Tracker'!$C$3:$C$30,MATCH($A225,'Attandance Tracker'!$A$3:$A$30,0)),"")</f>
        <v>HR</v>
      </c>
      <c r="D225" s="14">
        <v>5</v>
      </c>
      <c r="E225" s="7">
        <v>0.375</v>
      </c>
      <c r="F225" s="7">
        <v>0.83333333333333337</v>
      </c>
      <c r="G225" s="7">
        <f t="shared" si="15"/>
        <v>0.33333333333333331</v>
      </c>
      <c r="H225" s="7">
        <f t="shared" si="16"/>
        <v>0.12500000000000006</v>
      </c>
      <c r="I225" t="str">
        <f>IFERROR(IF(INDEX('Attandance Tracker'!$D$3:$AH$50,MATCH($A225,'Attandance Tracker'!$A$3:$A$50,0),DAY($D225))="P","Present",IF(INDEX('Attandance Tracker'!$D$3:$AH$50,MATCH($A225,'Attandance Tracker'!$A$3:$A$50,0),DAY($D225))="A","Absent","Leave")),"")</f>
        <v>Present</v>
      </c>
    </row>
    <row r="226" spans="1:9" x14ac:dyDescent="0.25">
      <c r="A226">
        <v>1008</v>
      </c>
      <c r="B226" t="str">
        <f>_xlfn.IFNA(INDEX('Attandance Tracker'!$B$3:$B$30,MATCH($A226,'Attandance Tracker'!$A$3:$A$30,0)),"")</f>
        <v xml:space="preserve"> Pooja</v>
      </c>
      <c r="C226" s="14" t="str">
        <f>_xlfn.IFNA(INDEX('Attandance Tracker'!$C$3:$C$30,MATCH($A226,'Attandance Tracker'!$A$3:$A$30,0)),"")</f>
        <v>HR</v>
      </c>
      <c r="D226" s="14">
        <v>6</v>
      </c>
      <c r="E226" s="7">
        <v>0.375</v>
      </c>
      <c r="F226" s="7">
        <v>0.79166666666666663</v>
      </c>
      <c r="G226" s="7">
        <f t="shared" si="15"/>
        <v>0.33333333333333331</v>
      </c>
      <c r="H226" s="7">
        <f t="shared" si="16"/>
        <v>8.3333333333333315E-2</v>
      </c>
      <c r="I226" t="str">
        <f>IFERROR(IF(INDEX('Attandance Tracker'!$D$3:$AH$50,MATCH($A226,'Attandance Tracker'!$A$3:$A$50,0),DAY($D226))="P","Present",IF(INDEX('Attandance Tracker'!$D$3:$AH$50,MATCH($A226,'Attandance Tracker'!$A$3:$A$50,0),DAY($D226))="A","Absent","Leave")),"")</f>
        <v>Present</v>
      </c>
    </row>
    <row r="227" spans="1:9" x14ac:dyDescent="0.25">
      <c r="A227">
        <v>1008</v>
      </c>
      <c r="B227" t="str">
        <f>_xlfn.IFNA(INDEX('Attandance Tracker'!$B$3:$B$30,MATCH($A227,'Attandance Tracker'!$A$3:$A$30,0)),"")</f>
        <v xml:space="preserve"> Pooja</v>
      </c>
      <c r="C227" s="14" t="str">
        <f>_xlfn.IFNA(INDEX('Attandance Tracker'!$C$3:$C$30,MATCH($A227,'Attandance Tracker'!$A$3:$A$30,0)),"")</f>
        <v>HR</v>
      </c>
      <c r="D227" s="14">
        <v>7</v>
      </c>
      <c r="E227" s="7">
        <v>0.375</v>
      </c>
      <c r="F227" s="7">
        <v>0.83333333333333337</v>
      </c>
      <c r="G227" s="7">
        <f t="shared" si="15"/>
        <v>0.33333333333333331</v>
      </c>
      <c r="H227" s="7">
        <f t="shared" si="16"/>
        <v>0.12500000000000006</v>
      </c>
      <c r="I227" t="str">
        <f>IFERROR(IF(INDEX('Attandance Tracker'!$D$3:$AH$50,MATCH($A227,'Attandance Tracker'!$A$3:$A$50,0),DAY($D227))="P","Present",IF(INDEX('Attandance Tracker'!$D$3:$AH$50,MATCH($A227,'Attandance Tracker'!$A$3:$A$50,0),DAY($D227))="A","Absent","Leave")),"")</f>
        <v>Present</v>
      </c>
    </row>
    <row r="228" spans="1:9" x14ac:dyDescent="0.25">
      <c r="A228">
        <v>1008</v>
      </c>
      <c r="B228" t="str">
        <f>_xlfn.IFNA(INDEX('Attandance Tracker'!$B$3:$B$30,MATCH($A228,'Attandance Tracker'!$A$3:$A$30,0)),"")</f>
        <v xml:space="preserve"> Pooja</v>
      </c>
      <c r="C228" s="14" t="str">
        <f>_xlfn.IFNA(INDEX('Attandance Tracker'!$C$3:$C$30,MATCH($A228,'Attandance Tracker'!$A$3:$A$30,0)),"")</f>
        <v>HR</v>
      </c>
      <c r="D228" s="14">
        <v>8</v>
      </c>
      <c r="E228" s="7">
        <v>0.33333333333333331</v>
      </c>
      <c r="F228" s="7">
        <v>0.83333333333333337</v>
      </c>
      <c r="G228" s="7">
        <f t="shared" si="15"/>
        <v>0.33333333333333331</v>
      </c>
      <c r="H228" s="7">
        <f t="shared" si="16"/>
        <v>0.16666666666666669</v>
      </c>
      <c r="I228" t="str">
        <f>IFERROR(IF(INDEX('Attandance Tracker'!$D$3:$AH$50,MATCH($A228,'Attandance Tracker'!$A$3:$A$50,0),DAY($D228))="P","Present",IF(INDEX('Attandance Tracker'!$D$3:$AH$50,MATCH($A228,'Attandance Tracker'!$A$3:$A$50,0),DAY($D228))="A","Absent","Leave")),"")</f>
        <v>Present</v>
      </c>
    </row>
    <row r="229" spans="1:9" x14ac:dyDescent="0.25">
      <c r="A229">
        <v>1008</v>
      </c>
      <c r="B229" t="str">
        <f>_xlfn.IFNA(INDEX('Attandance Tracker'!$B$3:$B$30,MATCH($A229,'Attandance Tracker'!$A$3:$A$30,0)),"")</f>
        <v xml:space="preserve"> Pooja</v>
      </c>
      <c r="C229" s="14" t="str">
        <f>_xlfn.IFNA(INDEX('Attandance Tracker'!$C$3:$C$30,MATCH($A229,'Attandance Tracker'!$A$3:$A$30,0)),"")</f>
        <v>HR</v>
      </c>
      <c r="D229" s="14">
        <v>9</v>
      </c>
      <c r="E229" s="7">
        <v>0.33333333333333331</v>
      </c>
      <c r="F229" s="7">
        <v>0.83333333333333337</v>
      </c>
      <c r="G229" s="7">
        <f t="shared" si="15"/>
        <v>0.33333333333333331</v>
      </c>
      <c r="H229" s="7">
        <f t="shared" si="16"/>
        <v>0.16666666666666669</v>
      </c>
      <c r="I229" t="str">
        <f>IFERROR(IF(INDEX('Attandance Tracker'!$D$3:$AH$50,MATCH($A229,'Attandance Tracker'!$A$3:$A$50,0),DAY($D229))="P","Present",IF(INDEX('Attandance Tracker'!$D$3:$AH$50,MATCH($A229,'Attandance Tracker'!$A$3:$A$50,0),DAY($D229))="A","Absent","Leave")),"")</f>
        <v>Present</v>
      </c>
    </row>
    <row r="230" spans="1:9" x14ac:dyDescent="0.25">
      <c r="A230">
        <v>1008</v>
      </c>
      <c r="B230" t="str">
        <f>_xlfn.IFNA(INDEX('Attandance Tracker'!$B$3:$B$30,MATCH($A230,'Attandance Tracker'!$A$3:$A$30,0)),"")</f>
        <v xml:space="preserve"> Pooja</v>
      </c>
      <c r="C230" s="14" t="str">
        <f>_xlfn.IFNA(INDEX('Attandance Tracker'!$C$3:$C$30,MATCH($A230,'Attandance Tracker'!$A$3:$A$30,0)),"")</f>
        <v>HR</v>
      </c>
      <c r="D230" s="14">
        <v>10</v>
      </c>
      <c r="E230" s="7">
        <v>0.33333333333333331</v>
      </c>
      <c r="F230" s="7">
        <v>0.83333333333333337</v>
      </c>
      <c r="G230" s="7">
        <f t="shared" si="15"/>
        <v>0.33333333333333331</v>
      </c>
      <c r="H230" s="7">
        <f t="shared" si="16"/>
        <v>0.16666666666666669</v>
      </c>
      <c r="I230" t="str">
        <f>IFERROR(IF(INDEX('Attandance Tracker'!$D$3:$AH$50,MATCH($A230,'Attandance Tracker'!$A$3:$A$50,0),DAY($D230))="P","Present",IF(INDEX('Attandance Tracker'!$D$3:$AH$50,MATCH($A230,'Attandance Tracker'!$A$3:$A$50,0),DAY($D230))="A","Absent","Leave")),"")</f>
        <v>Present</v>
      </c>
    </row>
    <row r="231" spans="1:9" x14ac:dyDescent="0.25">
      <c r="A231">
        <v>1008</v>
      </c>
      <c r="B231" t="str">
        <f>_xlfn.IFNA(INDEX('Attandance Tracker'!$B$3:$B$30,MATCH($A231,'Attandance Tracker'!$A$3:$A$30,0)),"")</f>
        <v xml:space="preserve"> Pooja</v>
      </c>
      <c r="C231" s="14" t="str">
        <f>_xlfn.IFNA(INDEX('Attandance Tracker'!$C$3:$C$30,MATCH($A231,'Attandance Tracker'!$A$3:$A$30,0)),"")</f>
        <v>HR</v>
      </c>
      <c r="D231" s="14">
        <v>11</v>
      </c>
      <c r="E231" s="7">
        <v>0.33333333333333331</v>
      </c>
      <c r="F231" s="7">
        <v>0.83333333333333337</v>
      </c>
      <c r="G231" s="7">
        <f t="shared" si="15"/>
        <v>0.33333333333333331</v>
      </c>
      <c r="H231" s="7">
        <f t="shared" si="16"/>
        <v>0.16666666666666669</v>
      </c>
      <c r="I231" t="str">
        <f>IFERROR(IF(INDEX('Attandance Tracker'!$D$3:$AH$50,MATCH($A231,'Attandance Tracker'!$A$3:$A$50,0),DAY($D231))="P","Present",IF(INDEX('Attandance Tracker'!$D$3:$AH$50,MATCH($A231,'Attandance Tracker'!$A$3:$A$50,0),DAY($D231))="A","Absent","Leave")),"")</f>
        <v>Present</v>
      </c>
    </row>
    <row r="232" spans="1:9" x14ac:dyDescent="0.25">
      <c r="A232">
        <v>1008</v>
      </c>
      <c r="B232" t="str">
        <f>_xlfn.IFNA(INDEX('Attandance Tracker'!$B$3:$B$30,MATCH($A232,'Attandance Tracker'!$A$3:$A$30,0)),"")</f>
        <v xml:space="preserve"> Pooja</v>
      </c>
      <c r="C232" s="14" t="str">
        <f>_xlfn.IFNA(INDEX('Attandance Tracker'!$C$3:$C$30,MATCH($A232,'Attandance Tracker'!$A$3:$A$30,0)),"")</f>
        <v>HR</v>
      </c>
      <c r="D232" s="14">
        <v>12</v>
      </c>
      <c r="E232" s="7">
        <v>0.33333333333333331</v>
      </c>
      <c r="F232" s="7">
        <v>0.79166666666666663</v>
      </c>
      <c r="G232" s="7">
        <f t="shared" si="15"/>
        <v>0.33333333333333331</v>
      </c>
      <c r="H232" s="7">
        <f t="shared" si="16"/>
        <v>0.125</v>
      </c>
      <c r="I232" t="str">
        <f>IFERROR(IF(INDEX('Attandance Tracker'!$D$3:$AH$50,MATCH($A232,'Attandance Tracker'!$A$3:$A$50,0),DAY($D232))="P","Present",IF(INDEX('Attandance Tracker'!$D$3:$AH$50,MATCH($A232,'Attandance Tracker'!$A$3:$A$50,0),DAY($D232))="A","Absent","Leave")),"")</f>
        <v>Present</v>
      </c>
    </row>
    <row r="233" spans="1:9" x14ac:dyDescent="0.25">
      <c r="A233">
        <v>1008</v>
      </c>
      <c r="B233" t="str">
        <f>_xlfn.IFNA(INDEX('Attandance Tracker'!$B$3:$B$30,MATCH($A233,'Attandance Tracker'!$A$3:$A$30,0)),"")</f>
        <v xml:space="preserve"> Pooja</v>
      </c>
      <c r="C233" s="14" t="str">
        <f>_xlfn.IFNA(INDEX('Attandance Tracker'!$C$3:$C$30,MATCH($A233,'Attandance Tracker'!$A$3:$A$30,0)),"")</f>
        <v>HR</v>
      </c>
      <c r="D233" s="14">
        <v>13</v>
      </c>
      <c r="E233" s="7">
        <v>0.33333333333333331</v>
      </c>
      <c r="F233" s="7">
        <v>0.75</v>
      </c>
      <c r="G233" s="7">
        <f t="shared" si="15"/>
        <v>0.33333333333333331</v>
      </c>
      <c r="H233" s="7">
        <f t="shared" si="16"/>
        <v>8.333333333333337E-2</v>
      </c>
      <c r="I233" t="str">
        <f>IFERROR(IF(INDEX('Attandance Tracker'!$D$3:$AH$50,MATCH($A233,'Attandance Tracker'!$A$3:$A$50,0),DAY($D233))="P","Present",IF(INDEX('Attandance Tracker'!$D$3:$AH$50,MATCH($A233,'Attandance Tracker'!$A$3:$A$50,0),DAY($D233))="A","Absent","Leave")),"")</f>
        <v>Present</v>
      </c>
    </row>
    <row r="234" spans="1:9" x14ac:dyDescent="0.25">
      <c r="A234">
        <v>1008</v>
      </c>
      <c r="B234" t="str">
        <f>_xlfn.IFNA(INDEX('Attandance Tracker'!$B$3:$B$30,MATCH($A234,'Attandance Tracker'!$A$3:$A$30,0)),"")</f>
        <v xml:space="preserve"> Pooja</v>
      </c>
      <c r="C234" s="14" t="str">
        <f>_xlfn.IFNA(INDEX('Attandance Tracker'!$C$3:$C$30,MATCH($A234,'Attandance Tracker'!$A$3:$A$30,0)),"")</f>
        <v>HR</v>
      </c>
      <c r="D234" s="14">
        <v>14</v>
      </c>
      <c r="E234" s="7">
        <v>0.33333333333333331</v>
      </c>
      <c r="F234" s="7">
        <v>0.83333333333333337</v>
      </c>
      <c r="G234" s="7">
        <f t="shared" si="15"/>
        <v>0.33333333333333331</v>
      </c>
      <c r="H234" s="7">
        <f t="shared" si="16"/>
        <v>0.16666666666666669</v>
      </c>
      <c r="I234" t="str">
        <f>IFERROR(IF(INDEX('Attandance Tracker'!$D$3:$AH$50,MATCH($A234,'Attandance Tracker'!$A$3:$A$50,0),DAY($D234))="P","Present",IF(INDEX('Attandance Tracker'!$D$3:$AH$50,MATCH($A234,'Attandance Tracker'!$A$3:$A$50,0),DAY($D234))="A","Absent","Leave")),"")</f>
        <v>Present</v>
      </c>
    </row>
    <row r="235" spans="1:9" x14ac:dyDescent="0.25">
      <c r="A235">
        <v>1008</v>
      </c>
      <c r="B235" t="str">
        <f>_xlfn.IFNA(INDEX('Attandance Tracker'!$B$3:$B$30,MATCH($A235,'Attandance Tracker'!$A$3:$A$30,0)),"")</f>
        <v xml:space="preserve"> Pooja</v>
      </c>
      <c r="C235" s="14" t="str">
        <f>_xlfn.IFNA(INDEX('Attandance Tracker'!$C$3:$C$30,MATCH($A235,'Attandance Tracker'!$A$3:$A$30,0)),"")</f>
        <v>HR</v>
      </c>
      <c r="D235" s="14">
        <v>15</v>
      </c>
      <c r="E235" s="7">
        <v>0.375</v>
      </c>
      <c r="F235" s="17">
        <v>0.75</v>
      </c>
      <c r="G235" s="7">
        <f t="shared" si="15"/>
        <v>0.33333333333333331</v>
      </c>
      <c r="H235" s="7">
        <f t="shared" si="16"/>
        <v>4.1666666666666685E-2</v>
      </c>
      <c r="I235" t="str">
        <f>IFERROR(IF(INDEX('Attandance Tracker'!$D$3:$AH$50,MATCH($A235,'Attandance Tracker'!$A$3:$A$50,0),DAY($D235))="P","Present",IF(INDEX('Attandance Tracker'!$D$3:$AH$50,MATCH($A235,'Attandance Tracker'!$A$3:$A$50,0),DAY($D235))="A","Absent","Leave")),"")</f>
        <v>Present</v>
      </c>
    </row>
    <row r="236" spans="1:9" x14ac:dyDescent="0.25">
      <c r="A236">
        <v>1008</v>
      </c>
      <c r="B236" t="str">
        <f>_xlfn.IFNA(INDEX('Attandance Tracker'!$B$3:$B$30,MATCH($A236,'Attandance Tracker'!$A$3:$A$30,0)),"")</f>
        <v xml:space="preserve"> Pooja</v>
      </c>
      <c r="C236" s="14" t="str">
        <f>_xlfn.IFNA(INDEX('Attandance Tracker'!$C$3:$C$30,MATCH($A236,'Attandance Tracker'!$A$3:$A$30,0)),"")</f>
        <v>HR</v>
      </c>
      <c r="D236" s="14">
        <v>16</v>
      </c>
      <c r="E236" s="7">
        <v>0.375</v>
      </c>
      <c r="F236" s="7">
        <v>0.83333333333333337</v>
      </c>
      <c r="G236" s="7">
        <f t="shared" si="15"/>
        <v>0.33333333333333331</v>
      </c>
      <c r="H236" s="7">
        <f t="shared" si="16"/>
        <v>0.12500000000000006</v>
      </c>
      <c r="I236" t="str">
        <f>IFERROR(IF(INDEX('Attandance Tracker'!$D$3:$AH$50,MATCH($A236,'Attandance Tracker'!$A$3:$A$50,0),DAY($D236))="P","Present",IF(INDEX('Attandance Tracker'!$D$3:$AH$50,MATCH($A236,'Attandance Tracker'!$A$3:$A$50,0),DAY($D236))="A","Absent","Leave")),"")</f>
        <v>Present</v>
      </c>
    </row>
    <row r="237" spans="1:9" x14ac:dyDescent="0.25">
      <c r="A237">
        <v>1008</v>
      </c>
      <c r="B237" t="str">
        <f>_xlfn.IFNA(INDEX('Attandance Tracker'!$B$3:$B$30,MATCH($A237,'Attandance Tracker'!$A$3:$A$30,0)),"")</f>
        <v xml:space="preserve"> Pooja</v>
      </c>
      <c r="C237" s="14" t="str">
        <f>_xlfn.IFNA(INDEX('Attandance Tracker'!$C$3:$C$30,MATCH($A237,'Attandance Tracker'!$A$3:$A$30,0)),"")</f>
        <v>HR</v>
      </c>
      <c r="D237" s="14">
        <v>17</v>
      </c>
      <c r="E237" s="7">
        <v>0.375</v>
      </c>
      <c r="F237" s="7">
        <v>0.79166666666666663</v>
      </c>
      <c r="G237" s="7">
        <f t="shared" si="15"/>
        <v>0.33333333333333331</v>
      </c>
      <c r="H237" s="7">
        <f t="shared" si="16"/>
        <v>8.3333333333333315E-2</v>
      </c>
      <c r="I237" t="str">
        <f>IFERROR(IF(INDEX('Attandance Tracker'!$D$3:$AH$50,MATCH($A237,'Attandance Tracker'!$A$3:$A$50,0),DAY($D237))="P","Present",IF(INDEX('Attandance Tracker'!$D$3:$AH$50,MATCH($A237,'Attandance Tracker'!$A$3:$A$50,0),DAY($D237))="A","Absent","Leave")),"")</f>
        <v>Present</v>
      </c>
    </row>
    <row r="238" spans="1:9" x14ac:dyDescent="0.25">
      <c r="A238">
        <v>1008</v>
      </c>
      <c r="B238" t="str">
        <f>_xlfn.IFNA(INDEX('Attandance Tracker'!$B$3:$B$30,MATCH($A238,'Attandance Tracker'!$A$3:$A$30,0)),"")</f>
        <v xml:space="preserve"> Pooja</v>
      </c>
      <c r="C238" s="14" t="str">
        <f>_xlfn.IFNA(INDEX('Attandance Tracker'!$C$3:$C$30,MATCH($A238,'Attandance Tracker'!$A$3:$A$30,0)),"")</f>
        <v>HR</v>
      </c>
      <c r="D238" s="14">
        <v>18</v>
      </c>
      <c r="E238" s="7">
        <v>0.33333333333333331</v>
      </c>
      <c r="F238" s="7">
        <v>0.75</v>
      </c>
      <c r="G238" s="7">
        <f t="shared" si="15"/>
        <v>0.33333333333333331</v>
      </c>
      <c r="H238" s="7">
        <f t="shared" si="16"/>
        <v>8.333333333333337E-2</v>
      </c>
      <c r="I238" t="str">
        <f>IFERROR(IF(INDEX('Attandance Tracker'!$D$3:$AH$50,MATCH($A238,'Attandance Tracker'!$A$3:$A$50,0),DAY($D238))="P","Present",IF(INDEX('Attandance Tracker'!$D$3:$AH$50,MATCH($A238,'Attandance Tracker'!$A$3:$A$50,0),DAY($D238))="A","Absent","Leave")),"")</f>
        <v>Present</v>
      </c>
    </row>
    <row r="239" spans="1:9" x14ac:dyDescent="0.25">
      <c r="A239">
        <v>1008</v>
      </c>
      <c r="B239" t="str">
        <f>_xlfn.IFNA(INDEX('Attandance Tracker'!$B$3:$B$30,MATCH($A239,'Attandance Tracker'!$A$3:$A$30,0)),"")</f>
        <v xml:space="preserve"> Pooja</v>
      </c>
      <c r="C239" s="14" t="str">
        <f>_xlfn.IFNA(INDEX('Attandance Tracker'!$C$3:$C$30,MATCH($A239,'Attandance Tracker'!$A$3:$A$30,0)),"")</f>
        <v>HR</v>
      </c>
      <c r="D239" s="14">
        <v>19</v>
      </c>
      <c r="E239" s="7">
        <v>0.33333333333333331</v>
      </c>
      <c r="F239" s="7">
        <v>0.83333333333333337</v>
      </c>
      <c r="G239" s="7">
        <f t="shared" si="15"/>
        <v>0.33333333333333331</v>
      </c>
      <c r="H239" s="7">
        <f t="shared" si="16"/>
        <v>0.16666666666666669</v>
      </c>
      <c r="I239" t="str">
        <f>IFERROR(IF(INDEX('Attandance Tracker'!$D$3:$AH$50,MATCH($A239,'Attandance Tracker'!$A$3:$A$50,0),DAY($D239))="P","Present",IF(INDEX('Attandance Tracker'!$D$3:$AH$50,MATCH($A239,'Attandance Tracker'!$A$3:$A$50,0),DAY($D239))="A","Absent","Leave")),"")</f>
        <v>Present</v>
      </c>
    </row>
    <row r="240" spans="1:9" x14ac:dyDescent="0.25">
      <c r="A240">
        <v>1008</v>
      </c>
      <c r="B240" t="str">
        <f>_xlfn.IFNA(INDEX('Attandance Tracker'!$B$3:$B$30,MATCH($A240,'Attandance Tracker'!$A$3:$A$30,0)),"")</f>
        <v xml:space="preserve"> Pooja</v>
      </c>
      <c r="C240" s="14" t="str">
        <f>_xlfn.IFNA(INDEX('Attandance Tracker'!$C$3:$C$30,MATCH($A240,'Attandance Tracker'!$A$3:$A$30,0)),"")</f>
        <v>HR</v>
      </c>
      <c r="D240" s="14">
        <v>20</v>
      </c>
      <c r="E240" s="7">
        <v>0.375</v>
      </c>
      <c r="F240" s="7">
        <v>0.83333333333333337</v>
      </c>
      <c r="G240" s="7">
        <f t="shared" si="15"/>
        <v>0.33333333333333331</v>
      </c>
      <c r="H240" s="7">
        <f t="shared" si="16"/>
        <v>0.12500000000000006</v>
      </c>
      <c r="I240" t="str">
        <f>IFERROR(IF(INDEX('Attandance Tracker'!$D$3:$AH$50,MATCH($A240,'Attandance Tracker'!$A$3:$A$50,0),DAY($D240))="P","Present",IF(INDEX('Attandance Tracker'!$D$3:$AH$50,MATCH($A240,'Attandance Tracker'!$A$3:$A$50,0),DAY($D240))="A","Absent","Leave")),"")</f>
        <v>Present</v>
      </c>
    </row>
    <row r="241" spans="1:9" x14ac:dyDescent="0.25">
      <c r="A241">
        <v>1008</v>
      </c>
      <c r="B241" t="str">
        <f>_xlfn.IFNA(INDEX('Attandance Tracker'!$B$3:$B$30,MATCH($A241,'Attandance Tracker'!$A$3:$A$30,0)),"")</f>
        <v xml:space="preserve"> Pooja</v>
      </c>
      <c r="C241" s="14" t="str">
        <f>_xlfn.IFNA(INDEX('Attandance Tracker'!$C$3:$C$30,MATCH($A241,'Attandance Tracker'!$A$3:$A$30,0)),"")</f>
        <v>HR</v>
      </c>
      <c r="D241" s="14">
        <v>21</v>
      </c>
      <c r="E241" s="7">
        <v>0.375</v>
      </c>
      <c r="F241" s="7">
        <v>0.79166666666666663</v>
      </c>
      <c r="G241" s="7">
        <f t="shared" si="15"/>
        <v>0.33333333333333331</v>
      </c>
      <c r="H241" s="7">
        <f t="shared" si="16"/>
        <v>8.3333333333333315E-2</v>
      </c>
      <c r="I241" t="str">
        <f>IFERROR(IF(INDEX('Attandance Tracker'!$D$3:$AH$50,MATCH($A241,'Attandance Tracker'!$A$3:$A$50,0),DAY($D241))="P","Present",IF(INDEX('Attandance Tracker'!$D$3:$AH$50,MATCH($A241,'Attandance Tracker'!$A$3:$A$50,0),DAY($D241))="A","Absent","Leave")),"")</f>
        <v>Present</v>
      </c>
    </row>
    <row r="242" spans="1:9" x14ac:dyDescent="0.25">
      <c r="A242">
        <v>1008</v>
      </c>
      <c r="B242" t="str">
        <f>_xlfn.IFNA(INDEX('Attandance Tracker'!$B$3:$B$30,MATCH($A242,'Attandance Tracker'!$A$3:$A$30,0)),"")</f>
        <v xml:space="preserve"> Pooja</v>
      </c>
      <c r="C242" s="14" t="str">
        <f>_xlfn.IFNA(INDEX('Attandance Tracker'!$C$3:$C$30,MATCH($A242,'Attandance Tracker'!$A$3:$A$30,0)),"")</f>
        <v>HR</v>
      </c>
      <c r="D242" s="14">
        <v>22</v>
      </c>
      <c r="E242" s="7">
        <v>0.375</v>
      </c>
      <c r="F242" s="7">
        <v>0.83333333333333337</v>
      </c>
      <c r="G242" s="7">
        <f t="shared" si="15"/>
        <v>0.33333333333333331</v>
      </c>
      <c r="H242" s="7">
        <f t="shared" si="16"/>
        <v>0.12500000000000006</v>
      </c>
      <c r="I242" t="str">
        <f>IFERROR(IF(INDEX('Attandance Tracker'!$D$3:$AH$50,MATCH($A242,'Attandance Tracker'!$A$3:$A$50,0),DAY($D242))="P","Present",IF(INDEX('Attandance Tracker'!$D$3:$AH$50,MATCH($A242,'Attandance Tracker'!$A$3:$A$50,0),DAY($D242))="A","Absent","Leave")),"")</f>
        <v>Present</v>
      </c>
    </row>
    <row r="243" spans="1:9" x14ac:dyDescent="0.25">
      <c r="A243">
        <v>1008</v>
      </c>
      <c r="B243" t="str">
        <f>_xlfn.IFNA(INDEX('Attandance Tracker'!$B$3:$B$30,MATCH($A243,'Attandance Tracker'!$A$3:$A$30,0)),"")</f>
        <v xml:space="preserve"> Pooja</v>
      </c>
      <c r="C243" s="14" t="str">
        <f>_xlfn.IFNA(INDEX('Attandance Tracker'!$C$3:$C$30,MATCH($A243,'Attandance Tracker'!$A$3:$A$30,0)),"")</f>
        <v>HR</v>
      </c>
      <c r="D243" s="14">
        <v>23</v>
      </c>
      <c r="E243" s="7">
        <v>0.33333333333333331</v>
      </c>
      <c r="F243" s="7">
        <v>0.83333333333333337</v>
      </c>
      <c r="G243" s="7">
        <f t="shared" si="15"/>
        <v>0.33333333333333331</v>
      </c>
      <c r="H243" s="7">
        <f t="shared" si="16"/>
        <v>0.16666666666666669</v>
      </c>
      <c r="I243" t="str">
        <f>IFERROR(IF(INDEX('Attandance Tracker'!$D$3:$AH$50,MATCH($A243,'Attandance Tracker'!$A$3:$A$50,0),DAY($D243))="P","Present",IF(INDEX('Attandance Tracker'!$D$3:$AH$50,MATCH($A243,'Attandance Tracker'!$A$3:$A$50,0),DAY($D243))="A","Absent","Leave")),"")</f>
        <v>Present</v>
      </c>
    </row>
    <row r="244" spans="1:9" x14ac:dyDescent="0.25">
      <c r="A244">
        <v>1008</v>
      </c>
      <c r="B244" t="str">
        <f>_xlfn.IFNA(INDEX('Attandance Tracker'!$B$3:$B$30,MATCH($A244,'Attandance Tracker'!$A$3:$A$30,0)),"")</f>
        <v xml:space="preserve"> Pooja</v>
      </c>
      <c r="C244" s="14" t="str">
        <f>_xlfn.IFNA(INDEX('Attandance Tracker'!$C$3:$C$30,MATCH($A244,'Attandance Tracker'!$A$3:$A$30,0)),"")</f>
        <v>HR</v>
      </c>
      <c r="D244" s="14">
        <v>24</v>
      </c>
      <c r="E244" s="7">
        <v>0.33333333333333331</v>
      </c>
      <c r="F244" s="7">
        <v>0.79166666666666663</v>
      </c>
      <c r="G244" s="7">
        <f t="shared" si="15"/>
        <v>0.33333333333333331</v>
      </c>
      <c r="H244" s="7">
        <f t="shared" si="16"/>
        <v>0.125</v>
      </c>
      <c r="I244" t="str">
        <f>IFERROR(IF(INDEX('Attandance Tracker'!$D$3:$AH$50,MATCH($A244,'Attandance Tracker'!$A$3:$A$50,0),DAY($D244))="P","Present",IF(INDEX('Attandance Tracker'!$D$3:$AH$50,MATCH($A244,'Attandance Tracker'!$A$3:$A$50,0),DAY($D244))="A","Absent","Leave")),"")</f>
        <v>Present</v>
      </c>
    </row>
    <row r="245" spans="1:9" x14ac:dyDescent="0.25">
      <c r="A245">
        <v>1008</v>
      </c>
      <c r="B245" t="str">
        <f>_xlfn.IFNA(INDEX('Attandance Tracker'!$B$3:$B$30,MATCH($A245,'Attandance Tracker'!$A$3:$A$30,0)),"")</f>
        <v xml:space="preserve"> Pooja</v>
      </c>
      <c r="C245" s="14" t="str">
        <f>_xlfn.IFNA(INDEX('Attandance Tracker'!$C$3:$C$30,MATCH($A245,'Attandance Tracker'!$A$3:$A$30,0)),"")</f>
        <v>HR</v>
      </c>
      <c r="D245" s="14">
        <v>25</v>
      </c>
      <c r="E245" s="7">
        <v>0.33333333333333331</v>
      </c>
      <c r="F245" s="7">
        <v>0.83333333333333337</v>
      </c>
      <c r="G245" s="7">
        <f t="shared" si="15"/>
        <v>0.33333333333333331</v>
      </c>
      <c r="H245" s="7">
        <f t="shared" si="16"/>
        <v>0.16666666666666669</v>
      </c>
      <c r="I245" t="str">
        <f>IFERROR(IF(INDEX('Attandance Tracker'!$D$3:$AH$50,MATCH($A245,'Attandance Tracker'!$A$3:$A$50,0),DAY($D245))="P","Present",IF(INDEX('Attandance Tracker'!$D$3:$AH$50,MATCH($A245,'Attandance Tracker'!$A$3:$A$50,0),DAY($D245))="A","Absent","Leave")),"")</f>
        <v>Present</v>
      </c>
    </row>
    <row r="246" spans="1:9" x14ac:dyDescent="0.25">
      <c r="A246">
        <v>1008</v>
      </c>
      <c r="B246" t="str">
        <f>_xlfn.IFNA(INDEX('Attandance Tracker'!$B$3:$B$30,MATCH($A246,'Attandance Tracker'!$A$3:$A$30,0)),"")</f>
        <v xml:space="preserve"> Pooja</v>
      </c>
      <c r="C246" s="14" t="str">
        <f>_xlfn.IFNA(INDEX('Attandance Tracker'!$C$3:$C$30,MATCH($A246,'Attandance Tracker'!$A$3:$A$30,0)),"")</f>
        <v>HR</v>
      </c>
      <c r="D246" s="14">
        <v>26</v>
      </c>
      <c r="E246" s="7">
        <v>0.33333333333333331</v>
      </c>
      <c r="F246" s="7">
        <v>0.75</v>
      </c>
      <c r="G246" s="7">
        <f t="shared" si="15"/>
        <v>0.33333333333333331</v>
      </c>
      <c r="H246" s="7">
        <f t="shared" si="16"/>
        <v>8.333333333333337E-2</v>
      </c>
      <c r="I246" t="str">
        <f>IFERROR(IF(INDEX('Attandance Tracker'!$D$3:$AH$50,MATCH($A246,'Attandance Tracker'!$A$3:$A$50,0),DAY($D246))="P","Present",IF(INDEX('Attandance Tracker'!$D$3:$AH$50,MATCH($A246,'Attandance Tracker'!$A$3:$A$50,0),DAY($D246))="A","Absent","Leave")),"")</f>
        <v>Present</v>
      </c>
    </row>
    <row r="247" spans="1:9" x14ac:dyDescent="0.25">
      <c r="A247">
        <v>1008</v>
      </c>
      <c r="B247" t="str">
        <f>_xlfn.IFNA(INDEX('Attandance Tracker'!$B$3:$B$30,MATCH($A247,'Attandance Tracker'!$A$3:$A$30,0)),"")</f>
        <v xml:space="preserve"> Pooja</v>
      </c>
      <c r="C247" s="14" t="str">
        <f>_xlfn.IFNA(INDEX('Attandance Tracker'!$C$3:$C$30,MATCH($A247,'Attandance Tracker'!$A$3:$A$30,0)),"")</f>
        <v>HR</v>
      </c>
      <c r="D247" s="14">
        <v>27</v>
      </c>
      <c r="E247" s="7">
        <v>0.33333333333333331</v>
      </c>
      <c r="F247" s="7">
        <v>0.83333333333333337</v>
      </c>
      <c r="G247" s="7">
        <f t="shared" si="15"/>
        <v>0.33333333333333331</v>
      </c>
      <c r="H247" s="7">
        <f t="shared" si="16"/>
        <v>0.16666666666666669</v>
      </c>
      <c r="I247" t="str">
        <f>IFERROR(IF(INDEX('Attandance Tracker'!$D$3:$AH$50,MATCH($A247,'Attandance Tracker'!$A$3:$A$50,0),DAY($D247))="P","Present",IF(INDEX('Attandance Tracker'!$D$3:$AH$50,MATCH($A247,'Attandance Tracker'!$A$3:$A$50,0),DAY($D247))="A","Absent","Leave")),"")</f>
        <v>Present</v>
      </c>
    </row>
    <row r="248" spans="1:9" x14ac:dyDescent="0.25">
      <c r="A248">
        <v>1008</v>
      </c>
      <c r="B248" t="str">
        <f>_xlfn.IFNA(INDEX('Attandance Tracker'!$B$3:$B$30,MATCH($A248,'Attandance Tracker'!$A$3:$A$30,0)),"")</f>
        <v xml:space="preserve"> Pooja</v>
      </c>
      <c r="C248" s="14" t="str">
        <f>_xlfn.IFNA(INDEX('Attandance Tracker'!$C$3:$C$30,MATCH($A248,'Attandance Tracker'!$A$3:$A$30,0)),"")</f>
        <v>HR</v>
      </c>
      <c r="D248" s="14">
        <v>28</v>
      </c>
      <c r="E248" s="7">
        <v>0.33333333333333331</v>
      </c>
      <c r="F248" s="7">
        <v>0.83333333333333337</v>
      </c>
      <c r="G248" s="7">
        <f t="shared" si="15"/>
        <v>0.33333333333333331</v>
      </c>
      <c r="H248" s="7">
        <f t="shared" si="16"/>
        <v>0.16666666666666669</v>
      </c>
      <c r="I248" t="str">
        <f>IFERROR(IF(INDEX('Attandance Tracker'!$D$3:$AH$50,MATCH($A248,'Attandance Tracker'!$A$3:$A$50,0),DAY($D248))="P","Present",IF(INDEX('Attandance Tracker'!$D$3:$AH$50,MATCH($A248,'Attandance Tracker'!$A$3:$A$50,0),DAY($D248))="A","Absent","Leave")),"")</f>
        <v>Present</v>
      </c>
    </row>
    <row r="249" spans="1:9" x14ac:dyDescent="0.25">
      <c r="A249">
        <v>1008</v>
      </c>
      <c r="B249" t="str">
        <f>_xlfn.IFNA(INDEX('Attandance Tracker'!$B$3:$B$30,MATCH($A249,'Attandance Tracker'!$A$3:$A$30,0)),"")</f>
        <v xml:space="preserve"> Pooja</v>
      </c>
      <c r="C249" s="14" t="str">
        <f>_xlfn.IFNA(INDEX('Attandance Tracker'!$C$3:$C$30,MATCH($A249,'Attandance Tracker'!$A$3:$A$30,0)),"")</f>
        <v>HR</v>
      </c>
      <c r="D249" s="14">
        <v>29</v>
      </c>
      <c r="E249" s="7">
        <v>0.33333333333333331</v>
      </c>
      <c r="F249" s="7">
        <v>0.83333333333333337</v>
      </c>
      <c r="G249" s="7">
        <f t="shared" si="15"/>
        <v>0.33333333333333331</v>
      </c>
      <c r="H249" s="7">
        <f t="shared" si="16"/>
        <v>0.16666666666666669</v>
      </c>
      <c r="I249" t="str">
        <f>IFERROR(IF(INDEX('Attandance Tracker'!$D$3:$AH$50,MATCH($A249,'Attandance Tracker'!$A$3:$A$50,0),DAY($D249))="P","Present",IF(INDEX('Attandance Tracker'!$D$3:$AH$50,MATCH($A249,'Attandance Tracker'!$A$3:$A$50,0),DAY($D249))="A","Absent","Leave")),"")</f>
        <v>Present</v>
      </c>
    </row>
    <row r="250" spans="1:9" x14ac:dyDescent="0.25">
      <c r="A250">
        <v>1008</v>
      </c>
      <c r="B250" t="str">
        <f>_xlfn.IFNA(INDEX('Attandance Tracker'!$B$3:$B$30,MATCH($A250,'Attandance Tracker'!$A$3:$A$30,0)),"")</f>
        <v xml:space="preserve"> Pooja</v>
      </c>
      <c r="C250" s="14" t="str">
        <f>_xlfn.IFNA(INDEX('Attandance Tracker'!$C$3:$C$30,MATCH($A250,'Attandance Tracker'!$A$3:$A$30,0)),"")</f>
        <v>HR</v>
      </c>
      <c r="D250" s="14">
        <v>30</v>
      </c>
      <c r="E250" s="7">
        <v>0.375</v>
      </c>
      <c r="F250" s="7">
        <v>0.83333333333333337</v>
      </c>
      <c r="G250" s="7">
        <f t="shared" si="15"/>
        <v>0.33333333333333331</v>
      </c>
      <c r="H250" s="7">
        <f t="shared" si="16"/>
        <v>0.12500000000000006</v>
      </c>
      <c r="I250" t="str">
        <f>IFERROR(IF(INDEX('Attandance Tracker'!$D$3:$AH$50,MATCH($A250,'Attandance Tracker'!$A$3:$A$50,0),DAY($D250))="P","Present",IF(INDEX('Attandance Tracker'!$D$3:$AH$50,MATCH($A250,'Attandance Tracker'!$A$3:$A$50,0),DAY($D250))="A","Absent","Leave")),"")</f>
        <v>Present</v>
      </c>
    </row>
    <row r="251" spans="1:9" x14ac:dyDescent="0.25">
      <c r="A251">
        <v>1008</v>
      </c>
      <c r="B251" t="str">
        <f>_xlfn.IFNA(INDEX('Attandance Tracker'!$B$3:$B$30,MATCH($A251,'Attandance Tracker'!$A$3:$A$30,0)),"")</f>
        <v xml:space="preserve"> Pooja</v>
      </c>
      <c r="C251" s="14" t="str">
        <f>_xlfn.IFNA(INDEX('Attandance Tracker'!$C$3:$C$30,MATCH($A251,'Attandance Tracker'!$A$3:$A$30,0)),"")</f>
        <v>HR</v>
      </c>
      <c r="D251" s="14">
        <v>31</v>
      </c>
      <c r="E251" s="7">
        <v>0.375</v>
      </c>
      <c r="F251" s="7">
        <v>0.83333333333333337</v>
      </c>
      <c r="G251" s="7">
        <f t="shared" si="15"/>
        <v>0.33333333333333331</v>
      </c>
      <c r="H251" s="7">
        <f t="shared" si="16"/>
        <v>0.12500000000000006</v>
      </c>
      <c r="I251" t="str">
        <f>IFERROR(IF(INDEX('Attandance Tracker'!$D$3:$AH$50,MATCH($A251,'Attandance Tracker'!$A$3:$A$50,0),DAY($D251))="P","Present",IF(INDEX('Attandance Tracker'!$D$3:$AH$50,MATCH($A251,'Attandance Tracker'!$A$3:$A$50,0),DAY($D251))="A","Absent","Leave")),"")</f>
        <v>Present</v>
      </c>
    </row>
    <row r="252" spans="1:9" x14ac:dyDescent="0.25">
      <c r="A252">
        <v>1009</v>
      </c>
      <c r="B252" t="str">
        <f>_xlfn.IFNA(INDEX('Attandance Tracker'!$B$3:$B$30,MATCH($A252,'Attandance Tracker'!$A$3:$A$30,0)),"")</f>
        <v xml:space="preserve"> Arjun</v>
      </c>
      <c r="C252" s="14" t="str">
        <f>_xlfn.IFNA(INDEX('Attandance Tracker'!$C$3:$C$30,MATCH($A252,'Attandance Tracker'!$A$3:$A$30,0)),"")</f>
        <v>HR</v>
      </c>
      <c r="D252" s="14">
        <v>1</v>
      </c>
      <c r="E252" s="7">
        <v>0.375</v>
      </c>
      <c r="F252" s="7">
        <v>0.83333333333333337</v>
      </c>
      <c r="G252" s="7">
        <f t="shared" si="15"/>
        <v>0.33333333333333331</v>
      </c>
      <c r="H252" s="7">
        <f t="shared" si="16"/>
        <v>0.12500000000000006</v>
      </c>
      <c r="I252" t="str">
        <f>IFERROR(IF(INDEX('Attandance Tracker'!$D$3:$AH$50,MATCH($A252,'Attandance Tracker'!$A$3:$A$50,0),DAY($D252))="P","Present",IF(INDEX('Attandance Tracker'!$D$3:$AH$50,MATCH($A252,'Attandance Tracker'!$A$3:$A$50,0),DAY($D252))="A","Absent","Leave")),"")</f>
        <v>Present</v>
      </c>
    </row>
    <row r="253" spans="1:9" x14ac:dyDescent="0.25">
      <c r="A253">
        <v>1009</v>
      </c>
      <c r="B253" t="str">
        <f>_xlfn.IFNA(INDEX('Attandance Tracker'!$B$3:$B$30,MATCH($A253,'Attandance Tracker'!$A$3:$A$30,0)),"")</f>
        <v xml:space="preserve"> Arjun</v>
      </c>
      <c r="C253" s="14" t="str">
        <f>_xlfn.IFNA(INDEX('Attandance Tracker'!$C$3:$C$30,MATCH($A253,'Attandance Tracker'!$A$3:$A$30,0)),"")</f>
        <v>HR</v>
      </c>
      <c r="D253" s="14">
        <v>2</v>
      </c>
      <c r="E253" s="7">
        <v>0.33333333333333331</v>
      </c>
      <c r="F253" s="7">
        <v>0.83333333333333337</v>
      </c>
      <c r="G253" s="7">
        <f t="shared" si="15"/>
        <v>0.33333333333333331</v>
      </c>
      <c r="H253" s="7">
        <f t="shared" si="16"/>
        <v>0.16666666666666669</v>
      </c>
      <c r="I253" t="str">
        <f>IFERROR(IF(INDEX('Attandance Tracker'!$D$3:$AH$50,MATCH($A253,'Attandance Tracker'!$A$3:$A$50,0),DAY($D253))="P","Present",IF(INDEX('Attandance Tracker'!$D$3:$AH$50,MATCH($A253,'Attandance Tracker'!$A$3:$A$50,0),DAY($D253))="A","Absent","Leave")),"")</f>
        <v>Present</v>
      </c>
    </row>
    <row r="254" spans="1:9" x14ac:dyDescent="0.25">
      <c r="A254">
        <v>1009</v>
      </c>
      <c r="B254" t="str">
        <f>_xlfn.IFNA(INDEX('Attandance Tracker'!$B$3:$B$30,MATCH($A254,'Attandance Tracker'!$A$3:$A$30,0)),"")</f>
        <v xml:space="preserve"> Arjun</v>
      </c>
      <c r="C254" s="14" t="str">
        <f>_xlfn.IFNA(INDEX('Attandance Tracker'!$C$3:$C$30,MATCH($A254,'Attandance Tracker'!$A$3:$A$30,0)),"")</f>
        <v>HR</v>
      </c>
      <c r="D254" s="14">
        <v>3</v>
      </c>
      <c r="E254" s="7">
        <v>0.33333333333333331</v>
      </c>
      <c r="F254" s="7">
        <v>0.79166666666666663</v>
      </c>
      <c r="G254" s="7">
        <f t="shared" si="15"/>
        <v>0.33333333333333331</v>
      </c>
      <c r="H254" s="7">
        <f t="shared" si="16"/>
        <v>0.125</v>
      </c>
      <c r="I254" t="str">
        <f>IFERROR(IF(INDEX('Attandance Tracker'!$D$3:$AH$50,MATCH($A254,'Attandance Tracker'!$A$3:$A$50,0),DAY($D254))="P","Present",IF(INDEX('Attandance Tracker'!$D$3:$AH$50,MATCH($A254,'Attandance Tracker'!$A$3:$A$50,0),DAY($D254))="A","Absent","Leave")),"")</f>
        <v>Present</v>
      </c>
    </row>
    <row r="255" spans="1:9" x14ac:dyDescent="0.25">
      <c r="A255">
        <v>1009</v>
      </c>
      <c r="B255" t="str">
        <f>_xlfn.IFNA(INDEX('Attandance Tracker'!$B$3:$B$30,MATCH($A255,'Attandance Tracker'!$A$3:$A$30,0)),"")</f>
        <v xml:space="preserve"> Arjun</v>
      </c>
      <c r="C255" s="14" t="str">
        <f>_xlfn.IFNA(INDEX('Attandance Tracker'!$C$3:$C$30,MATCH($A255,'Attandance Tracker'!$A$3:$A$30,0)),"")</f>
        <v>HR</v>
      </c>
      <c r="D255" s="14">
        <v>4</v>
      </c>
      <c r="E255" s="7">
        <v>0.375</v>
      </c>
      <c r="F255" s="7">
        <v>0.75</v>
      </c>
      <c r="G255" s="7">
        <f t="shared" si="15"/>
        <v>0.33333333333333331</v>
      </c>
      <c r="H255" s="7">
        <f t="shared" si="16"/>
        <v>4.1666666666666685E-2</v>
      </c>
      <c r="I255" t="str">
        <f>IFERROR(IF(INDEX('Attandance Tracker'!$D$3:$AH$50,MATCH($A255,'Attandance Tracker'!$A$3:$A$50,0),DAY($D255))="P","Present",IF(INDEX('Attandance Tracker'!$D$3:$AH$50,MATCH($A255,'Attandance Tracker'!$A$3:$A$50,0),DAY($D255))="A","Absent","Leave")),"")</f>
        <v>Present</v>
      </c>
    </row>
    <row r="256" spans="1:9" x14ac:dyDescent="0.25">
      <c r="A256">
        <v>1009</v>
      </c>
      <c r="B256" t="str">
        <f>_xlfn.IFNA(INDEX('Attandance Tracker'!$B$3:$B$30,MATCH($A256,'Attandance Tracker'!$A$3:$A$30,0)),"")</f>
        <v xml:space="preserve"> Arjun</v>
      </c>
      <c r="C256" s="14" t="str">
        <f>_xlfn.IFNA(INDEX('Attandance Tracker'!$C$3:$C$30,MATCH($A256,'Attandance Tracker'!$A$3:$A$30,0)),"")</f>
        <v>HR</v>
      </c>
      <c r="D256" s="14">
        <v>5</v>
      </c>
      <c r="E256" s="7">
        <v>0.375</v>
      </c>
      <c r="F256" s="7">
        <v>0.83333333333333337</v>
      </c>
      <c r="G256" s="7">
        <f t="shared" si="15"/>
        <v>0.33333333333333331</v>
      </c>
      <c r="H256" s="7">
        <f t="shared" si="16"/>
        <v>0.12500000000000006</v>
      </c>
      <c r="I256" t="str">
        <f>IFERROR(IF(INDEX('Attandance Tracker'!$D$3:$AH$50,MATCH($A256,'Attandance Tracker'!$A$3:$A$50,0),DAY($D256))="P","Present",IF(INDEX('Attandance Tracker'!$D$3:$AH$50,MATCH($A256,'Attandance Tracker'!$A$3:$A$50,0),DAY($D256))="A","Absent","Leave")),"")</f>
        <v>Present</v>
      </c>
    </row>
    <row r="257" spans="1:9" x14ac:dyDescent="0.25">
      <c r="A257">
        <v>1009</v>
      </c>
      <c r="B257" t="str">
        <f>_xlfn.IFNA(INDEX('Attandance Tracker'!$B$3:$B$30,MATCH($A257,'Attandance Tracker'!$A$3:$A$30,0)),"")</f>
        <v xml:space="preserve"> Arjun</v>
      </c>
      <c r="C257" s="14" t="str">
        <f>_xlfn.IFNA(INDEX('Attandance Tracker'!$C$3:$C$30,MATCH($A257,'Attandance Tracker'!$A$3:$A$30,0)),"")</f>
        <v>HR</v>
      </c>
      <c r="D257" s="14">
        <v>6</v>
      </c>
      <c r="E257" s="7">
        <v>0.375</v>
      </c>
      <c r="F257" s="17">
        <v>0.75</v>
      </c>
      <c r="G257" s="7">
        <f t="shared" si="15"/>
        <v>0.33333333333333331</v>
      </c>
      <c r="H257" s="7">
        <f t="shared" si="16"/>
        <v>4.1666666666666685E-2</v>
      </c>
      <c r="I257" t="str">
        <f>IFERROR(IF(INDEX('Attandance Tracker'!$D$3:$AH$50,MATCH($A257,'Attandance Tracker'!$A$3:$A$50,0),DAY($D257))="P","Present",IF(INDEX('Attandance Tracker'!$D$3:$AH$50,MATCH($A257,'Attandance Tracker'!$A$3:$A$50,0),DAY($D257))="A","Absent","Leave")),"")</f>
        <v>Present</v>
      </c>
    </row>
    <row r="258" spans="1:9" x14ac:dyDescent="0.25">
      <c r="A258">
        <v>1009</v>
      </c>
      <c r="B258" t="str">
        <f>_xlfn.IFNA(INDEX('Attandance Tracker'!$B$3:$B$30,MATCH($A258,'Attandance Tracker'!$A$3:$A$30,0)),"")</f>
        <v xml:space="preserve"> Arjun</v>
      </c>
      <c r="C258" s="14" t="str">
        <f>_xlfn.IFNA(INDEX('Attandance Tracker'!$C$3:$C$30,MATCH($A258,'Attandance Tracker'!$A$3:$A$30,0)),"")</f>
        <v>HR</v>
      </c>
      <c r="D258" s="14">
        <v>7</v>
      </c>
      <c r="E258" s="7">
        <v>0.33333333333333331</v>
      </c>
      <c r="F258" s="7">
        <v>0.83333333333333337</v>
      </c>
      <c r="G258" s="7">
        <f t="shared" si="15"/>
        <v>0.33333333333333331</v>
      </c>
      <c r="H258" s="7">
        <f t="shared" si="16"/>
        <v>0.16666666666666669</v>
      </c>
      <c r="I258" t="str">
        <f>IFERROR(IF(INDEX('Attandance Tracker'!$D$3:$AH$50,MATCH($A258,'Attandance Tracker'!$A$3:$A$50,0),DAY($D258))="P","Present",IF(INDEX('Attandance Tracker'!$D$3:$AH$50,MATCH($A258,'Attandance Tracker'!$A$3:$A$50,0),DAY($D258))="A","Absent","Leave")),"")</f>
        <v>Present</v>
      </c>
    </row>
    <row r="259" spans="1:9" x14ac:dyDescent="0.25">
      <c r="A259">
        <v>1009</v>
      </c>
      <c r="B259" t="str">
        <f>_xlfn.IFNA(INDEX('Attandance Tracker'!$B$3:$B$30,MATCH($A259,'Attandance Tracker'!$A$3:$A$30,0)),"")</f>
        <v xml:space="preserve"> Arjun</v>
      </c>
      <c r="C259" s="14" t="str">
        <f>_xlfn.IFNA(INDEX('Attandance Tracker'!$C$3:$C$30,MATCH($A259,'Attandance Tracker'!$A$3:$A$30,0)),"")</f>
        <v>HR</v>
      </c>
      <c r="D259" s="14">
        <v>8</v>
      </c>
      <c r="E259" s="7">
        <v>0.33333333333333331</v>
      </c>
      <c r="F259" s="7">
        <v>0.79166666666666663</v>
      </c>
      <c r="G259" s="7">
        <f t="shared" si="15"/>
        <v>0.33333333333333331</v>
      </c>
      <c r="H259" s="7">
        <f t="shared" si="16"/>
        <v>0.125</v>
      </c>
      <c r="I259" t="str">
        <f>IFERROR(IF(INDEX('Attandance Tracker'!$D$3:$AH$50,MATCH($A259,'Attandance Tracker'!$A$3:$A$50,0),DAY($D259))="P","Present",IF(INDEX('Attandance Tracker'!$D$3:$AH$50,MATCH($A259,'Attandance Tracker'!$A$3:$A$50,0),DAY($D259))="A","Absent","Leave")),"")</f>
        <v>Present</v>
      </c>
    </row>
    <row r="260" spans="1:9" x14ac:dyDescent="0.25">
      <c r="A260">
        <v>1009</v>
      </c>
      <c r="B260" t="str">
        <f>_xlfn.IFNA(INDEX('Attandance Tracker'!$B$3:$B$30,MATCH($A260,'Attandance Tracker'!$A$3:$A$30,0)),"")</f>
        <v xml:space="preserve"> Arjun</v>
      </c>
      <c r="C260" s="14" t="str">
        <f>_xlfn.IFNA(INDEX('Attandance Tracker'!$C$3:$C$30,MATCH($A260,'Attandance Tracker'!$A$3:$A$30,0)),"")</f>
        <v>HR</v>
      </c>
      <c r="D260" s="14">
        <v>9</v>
      </c>
      <c r="E260" s="7">
        <v>0.33333333333333331</v>
      </c>
      <c r="F260" s="7">
        <v>0.75</v>
      </c>
      <c r="G260" s="7">
        <f t="shared" si="15"/>
        <v>0.33333333333333331</v>
      </c>
      <c r="H260" s="7">
        <f t="shared" si="16"/>
        <v>8.333333333333337E-2</v>
      </c>
      <c r="I260" t="str">
        <f>IFERROR(IF(INDEX('Attandance Tracker'!$D$3:$AH$50,MATCH($A260,'Attandance Tracker'!$A$3:$A$50,0),DAY($D260))="P","Present",IF(INDEX('Attandance Tracker'!$D$3:$AH$50,MATCH($A260,'Attandance Tracker'!$A$3:$A$50,0),DAY($D260))="A","Absent","Leave")),"")</f>
        <v>Present</v>
      </c>
    </row>
    <row r="261" spans="1:9" x14ac:dyDescent="0.25">
      <c r="A261">
        <v>1009</v>
      </c>
      <c r="B261" t="str">
        <f>_xlfn.IFNA(INDEX('Attandance Tracker'!$B$3:$B$30,MATCH($A261,'Attandance Tracker'!$A$3:$A$30,0)),"")</f>
        <v xml:space="preserve"> Arjun</v>
      </c>
      <c r="C261" s="14" t="str">
        <f>_xlfn.IFNA(INDEX('Attandance Tracker'!$C$3:$C$30,MATCH($A261,'Attandance Tracker'!$A$3:$A$30,0)),"")</f>
        <v>HR</v>
      </c>
      <c r="D261" s="14">
        <v>10</v>
      </c>
      <c r="E261" s="7">
        <v>0.33333333333333331</v>
      </c>
      <c r="F261" s="7">
        <v>0.83333333333333337</v>
      </c>
      <c r="G261" s="7">
        <f t="shared" ref="G261:G324" si="17">IF(I261="Present",MIN(F261-E261,8/24),IF(I261="Absent",8/24,0))</f>
        <v>0.33333333333333331</v>
      </c>
      <c r="H261" s="7">
        <f t="shared" ref="H261:H324" si="18">IF(I261="Present",MAX(0,F261-E261-8/24),0)</f>
        <v>0.16666666666666669</v>
      </c>
      <c r="I261" t="str">
        <f>IFERROR(IF(INDEX('Attandance Tracker'!$D$3:$AH$50,MATCH($A261,'Attandance Tracker'!$A$3:$A$50,0),DAY($D261))="P","Present",IF(INDEX('Attandance Tracker'!$D$3:$AH$50,MATCH($A261,'Attandance Tracker'!$A$3:$A$50,0),DAY($D261))="A","Absent","Leave")),"")</f>
        <v>Present</v>
      </c>
    </row>
    <row r="262" spans="1:9" x14ac:dyDescent="0.25">
      <c r="A262">
        <v>1009</v>
      </c>
      <c r="B262" t="str">
        <f>_xlfn.IFNA(INDEX('Attandance Tracker'!$B$3:$B$30,MATCH($A262,'Attandance Tracker'!$A$3:$A$30,0)),"")</f>
        <v xml:space="preserve"> Arjun</v>
      </c>
      <c r="C262" s="14" t="str">
        <f>_xlfn.IFNA(INDEX('Attandance Tracker'!$C$3:$C$30,MATCH($A262,'Attandance Tracker'!$A$3:$A$30,0)),"")</f>
        <v>HR</v>
      </c>
      <c r="D262" s="14">
        <v>11</v>
      </c>
      <c r="E262" s="7">
        <v>0.33333333333333331</v>
      </c>
      <c r="F262" s="7">
        <v>0.83333333333333337</v>
      </c>
      <c r="G262" s="7">
        <f t="shared" si="17"/>
        <v>0.33333333333333331</v>
      </c>
      <c r="H262" s="7">
        <f t="shared" si="18"/>
        <v>0.16666666666666669</v>
      </c>
      <c r="I262" t="str">
        <f>IFERROR(IF(INDEX('Attandance Tracker'!$D$3:$AH$50,MATCH($A262,'Attandance Tracker'!$A$3:$A$50,0),DAY($D262))="P","Present",IF(INDEX('Attandance Tracker'!$D$3:$AH$50,MATCH($A262,'Attandance Tracker'!$A$3:$A$50,0),DAY($D262))="A","Absent","Leave")),"")</f>
        <v>Present</v>
      </c>
    </row>
    <row r="263" spans="1:9" x14ac:dyDescent="0.25">
      <c r="A263">
        <v>1009</v>
      </c>
      <c r="B263" t="str">
        <f>_xlfn.IFNA(INDEX('Attandance Tracker'!$B$3:$B$30,MATCH($A263,'Attandance Tracker'!$A$3:$A$30,0)),"")</f>
        <v xml:space="preserve"> Arjun</v>
      </c>
      <c r="C263" s="14" t="str">
        <f>_xlfn.IFNA(INDEX('Attandance Tracker'!$C$3:$C$30,MATCH($A263,'Attandance Tracker'!$A$3:$A$30,0)),"")</f>
        <v>HR</v>
      </c>
      <c r="D263" s="14">
        <v>12</v>
      </c>
      <c r="E263" s="7">
        <v>0.33333333333333331</v>
      </c>
      <c r="F263" s="7">
        <v>0.79166666666666663</v>
      </c>
      <c r="G263" s="7">
        <f t="shared" si="17"/>
        <v>0.33333333333333331</v>
      </c>
      <c r="H263" s="7">
        <f t="shared" si="18"/>
        <v>0.125</v>
      </c>
      <c r="I263" t="str">
        <f>IFERROR(IF(INDEX('Attandance Tracker'!$D$3:$AH$50,MATCH($A263,'Attandance Tracker'!$A$3:$A$50,0),DAY($D263))="P","Present",IF(INDEX('Attandance Tracker'!$D$3:$AH$50,MATCH($A263,'Attandance Tracker'!$A$3:$A$50,0),DAY($D263))="A","Absent","Leave")),"")</f>
        <v>Present</v>
      </c>
    </row>
    <row r="264" spans="1:9" x14ac:dyDescent="0.25">
      <c r="A264">
        <v>1009</v>
      </c>
      <c r="B264" t="str">
        <f>_xlfn.IFNA(INDEX('Attandance Tracker'!$B$3:$B$30,MATCH($A264,'Attandance Tracker'!$A$3:$A$30,0)),"")</f>
        <v xml:space="preserve"> Arjun</v>
      </c>
      <c r="C264" s="14" t="str">
        <f>_xlfn.IFNA(INDEX('Attandance Tracker'!$C$3:$C$30,MATCH($A264,'Attandance Tracker'!$A$3:$A$30,0)),"")</f>
        <v>HR</v>
      </c>
      <c r="D264" s="14">
        <v>13</v>
      </c>
      <c r="E264" s="7">
        <v>0.33333333333333331</v>
      </c>
      <c r="F264" s="7">
        <v>0.83333333333333337</v>
      </c>
      <c r="G264" s="7">
        <f t="shared" si="17"/>
        <v>0.33333333333333331</v>
      </c>
      <c r="H264" s="7">
        <f t="shared" si="18"/>
        <v>0.16666666666666669</v>
      </c>
      <c r="I264" t="str">
        <f>IFERROR(IF(INDEX('Attandance Tracker'!$D$3:$AH$50,MATCH($A264,'Attandance Tracker'!$A$3:$A$50,0),DAY($D264))="P","Present",IF(INDEX('Attandance Tracker'!$D$3:$AH$50,MATCH($A264,'Attandance Tracker'!$A$3:$A$50,0),DAY($D264))="A","Absent","Leave")),"")</f>
        <v>Present</v>
      </c>
    </row>
    <row r="265" spans="1:9" x14ac:dyDescent="0.25">
      <c r="A265">
        <v>1009</v>
      </c>
      <c r="B265" t="str">
        <f>_xlfn.IFNA(INDEX('Attandance Tracker'!$B$3:$B$30,MATCH($A265,'Attandance Tracker'!$A$3:$A$30,0)),"")</f>
        <v xml:space="preserve"> Arjun</v>
      </c>
      <c r="C265" s="14" t="str">
        <f>_xlfn.IFNA(INDEX('Attandance Tracker'!$C$3:$C$30,MATCH($A265,'Attandance Tracker'!$A$3:$A$30,0)),"")</f>
        <v>HR</v>
      </c>
      <c r="D265" s="14">
        <v>14</v>
      </c>
      <c r="E265" s="7">
        <v>0.375</v>
      </c>
      <c r="F265" s="7">
        <v>0.83333333333333337</v>
      </c>
      <c r="G265" s="7">
        <f t="shared" si="17"/>
        <v>0.33333333333333331</v>
      </c>
      <c r="H265" s="7">
        <f t="shared" si="18"/>
        <v>0.12500000000000006</v>
      </c>
      <c r="I265" t="str">
        <f>IFERROR(IF(INDEX('Attandance Tracker'!$D$3:$AH$50,MATCH($A265,'Attandance Tracker'!$A$3:$A$50,0),DAY($D265))="P","Present",IF(INDEX('Attandance Tracker'!$D$3:$AH$50,MATCH($A265,'Attandance Tracker'!$A$3:$A$50,0),DAY($D265))="A","Absent","Leave")),"")</f>
        <v>Present</v>
      </c>
    </row>
    <row r="266" spans="1:9" x14ac:dyDescent="0.25">
      <c r="A266">
        <v>1009</v>
      </c>
      <c r="B266" t="str">
        <f>_xlfn.IFNA(INDEX('Attandance Tracker'!$B$3:$B$30,MATCH($A266,'Attandance Tracker'!$A$3:$A$30,0)),"")</f>
        <v xml:space="preserve"> Arjun</v>
      </c>
      <c r="C266" s="14" t="str">
        <f>_xlfn.IFNA(INDEX('Attandance Tracker'!$C$3:$C$30,MATCH($A266,'Attandance Tracker'!$A$3:$A$30,0)),"")</f>
        <v>HR</v>
      </c>
      <c r="D266" s="14">
        <v>15</v>
      </c>
      <c r="E266" s="7">
        <v>0.375</v>
      </c>
      <c r="F266" s="7">
        <v>0.79166666666666663</v>
      </c>
      <c r="G266" s="7">
        <f t="shared" si="17"/>
        <v>0.33333333333333331</v>
      </c>
      <c r="H266" s="7">
        <f t="shared" si="18"/>
        <v>8.3333333333333315E-2</v>
      </c>
      <c r="I266" t="str">
        <f>IFERROR(IF(INDEX('Attandance Tracker'!$D$3:$AH$50,MATCH($A266,'Attandance Tracker'!$A$3:$A$50,0),DAY($D266))="P","Present",IF(INDEX('Attandance Tracker'!$D$3:$AH$50,MATCH($A266,'Attandance Tracker'!$A$3:$A$50,0),DAY($D266))="A","Absent","Leave")),"")</f>
        <v>Present</v>
      </c>
    </row>
    <row r="267" spans="1:9" x14ac:dyDescent="0.25">
      <c r="A267">
        <v>1009</v>
      </c>
      <c r="B267" t="str">
        <f>_xlfn.IFNA(INDEX('Attandance Tracker'!$B$3:$B$30,MATCH($A267,'Attandance Tracker'!$A$3:$A$30,0)),"")</f>
        <v xml:space="preserve"> Arjun</v>
      </c>
      <c r="C267" s="14" t="str">
        <f>_xlfn.IFNA(INDEX('Attandance Tracker'!$C$3:$C$30,MATCH($A267,'Attandance Tracker'!$A$3:$A$30,0)),"")</f>
        <v>HR</v>
      </c>
      <c r="D267" s="14">
        <v>16</v>
      </c>
      <c r="E267" s="7">
        <v>0.375</v>
      </c>
      <c r="F267" s="7">
        <v>0.83333333333333337</v>
      </c>
      <c r="G267" s="7">
        <f t="shared" si="17"/>
        <v>0.33333333333333331</v>
      </c>
      <c r="H267" s="7">
        <f t="shared" si="18"/>
        <v>0.12500000000000006</v>
      </c>
      <c r="I267" t="str">
        <f>IFERROR(IF(INDEX('Attandance Tracker'!$D$3:$AH$50,MATCH($A267,'Attandance Tracker'!$A$3:$A$50,0),DAY($D267))="P","Present",IF(INDEX('Attandance Tracker'!$D$3:$AH$50,MATCH($A267,'Attandance Tracker'!$A$3:$A$50,0),DAY($D267))="A","Absent","Leave")),"")</f>
        <v>Present</v>
      </c>
    </row>
    <row r="268" spans="1:9" x14ac:dyDescent="0.25">
      <c r="A268">
        <v>1009</v>
      </c>
      <c r="B268" t="str">
        <f>_xlfn.IFNA(INDEX('Attandance Tracker'!$B$3:$B$30,MATCH($A268,'Attandance Tracker'!$A$3:$A$30,0)),"")</f>
        <v xml:space="preserve"> Arjun</v>
      </c>
      <c r="C268" s="14" t="str">
        <f>_xlfn.IFNA(INDEX('Attandance Tracker'!$C$3:$C$30,MATCH($A268,'Attandance Tracker'!$A$3:$A$30,0)),"")</f>
        <v>HR</v>
      </c>
      <c r="D268" s="14">
        <v>17</v>
      </c>
      <c r="E268" s="7">
        <v>0.33333333333333331</v>
      </c>
      <c r="F268" s="7">
        <v>0.75</v>
      </c>
      <c r="G268" s="7">
        <f t="shared" si="17"/>
        <v>0.33333333333333331</v>
      </c>
      <c r="H268" s="7">
        <f t="shared" si="18"/>
        <v>8.333333333333337E-2</v>
      </c>
      <c r="I268" t="str">
        <f>IFERROR(IF(INDEX('Attandance Tracker'!$D$3:$AH$50,MATCH($A268,'Attandance Tracker'!$A$3:$A$50,0),DAY($D268))="P","Present",IF(INDEX('Attandance Tracker'!$D$3:$AH$50,MATCH($A268,'Attandance Tracker'!$A$3:$A$50,0),DAY($D268))="A","Absent","Leave")),"")</f>
        <v>Present</v>
      </c>
    </row>
    <row r="269" spans="1:9" x14ac:dyDescent="0.25">
      <c r="A269">
        <v>1009</v>
      </c>
      <c r="B269" t="str">
        <f>_xlfn.IFNA(INDEX('Attandance Tracker'!$B$3:$B$30,MATCH($A269,'Attandance Tracker'!$A$3:$A$30,0)),"")</f>
        <v xml:space="preserve"> Arjun</v>
      </c>
      <c r="C269" s="14" t="str">
        <f>_xlfn.IFNA(INDEX('Attandance Tracker'!$C$3:$C$30,MATCH($A269,'Attandance Tracker'!$A$3:$A$30,0)),"")</f>
        <v>HR</v>
      </c>
      <c r="D269" s="14">
        <v>18</v>
      </c>
      <c r="E269" s="7">
        <v>0.33333333333333331</v>
      </c>
      <c r="F269" s="7">
        <v>0.83333333333333337</v>
      </c>
      <c r="G269" s="7">
        <f t="shared" si="17"/>
        <v>0</v>
      </c>
      <c r="H269" s="7">
        <f t="shared" si="18"/>
        <v>0</v>
      </c>
      <c r="I269" t="str">
        <f>IFERROR(IF(INDEX('Attandance Tracker'!$D$3:$AH$50,MATCH($A269,'Attandance Tracker'!$A$3:$A$50,0),DAY($D269))="P","Present",IF(INDEX('Attandance Tracker'!$D$3:$AH$50,MATCH($A269,'Attandance Tracker'!$A$3:$A$50,0),DAY($D269))="A","Absent","Leave")),"")</f>
        <v>Leave</v>
      </c>
    </row>
    <row r="270" spans="1:9" x14ac:dyDescent="0.25">
      <c r="A270">
        <v>1009</v>
      </c>
      <c r="B270" t="str">
        <f>_xlfn.IFNA(INDEX('Attandance Tracker'!$B$3:$B$30,MATCH($A270,'Attandance Tracker'!$A$3:$A$30,0)),"")</f>
        <v xml:space="preserve"> Arjun</v>
      </c>
      <c r="C270" s="14" t="str">
        <f>_xlfn.IFNA(INDEX('Attandance Tracker'!$C$3:$C$30,MATCH($A270,'Attandance Tracker'!$A$3:$A$30,0)),"")</f>
        <v>HR</v>
      </c>
      <c r="D270" s="14">
        <v>19</v>
      </c>
      <c r="E270" s="7">
        <v>0.375</v>
      </c>
      <c r="F270" s="7">
        <v>0.83333333333333337</v>
      </c>
      <c r="G270" s="7">
        <f t="shared" si="17"/>
        <v>0.33333333333333331</v>
      </c>
      <c r="H270" s="7">
        <f t="shared" si="18"/>
        <v>0</v>
      </c>
      <c r="I270" t="str">
        <f>IFERROR(IF(INDEX('Attandance Tracker'!$D$3:$AH$50,MATCH($A270,'Attandance Tracker'!$A$3:$A$50,0),DAY($D270))="P","Present",IF(INDEX('Attandance Tracker'!$D$3:$AH$50,MATCH($A270,'Attandance Tracker'!$A$3:$A$50,0),DAY($D270))="A","Absent","Leave")),"")</f>
        <v>Absent</v>
      </c>
    </row>
    <row r="271" spans="1:9" x14ac:dyDescent="0.25">
      <c r="A271">
        <v>1009</v>
      </c>
      <c r="B271" t="str">
        <f>_xlfn.IFNA(INDEX('Attandance Tracker'!$B$3:$B$30,MATCH($A271,'Attandance Tracker'!$A$3:$A$30,0)),"")</f>
        <v xml:space="preserve"> Arjun</v>
      </c>
      <c r="C271" s="14" t="str">
        <f>_xlfn.IFNA(INDEX('Attandance Tracker'!$C$3:$C$30,MATCH($A271,'Attandance Tracker'!$A$3:$A$30,0)),"")</f>
        <v>HR</v>
      </c>
      <c r="D271" s="14">
        <v>20</v>
      </c>
      <c r="E271" s="7">
        <v>0.375</v>
      </c>
      <c r="F271" s="7">
        <v>0.83333333333333337</v>
      </c>
      <c r="G271" s="7">
        <f t="shared" si="17"/>
        <v>0.33333333333333331</v>
      </c>
      <c r="H271" s="7">
        <f t="shared" si="18"/>
        <v>0.12500000000000006</v>
      </c>
      <c r="I271" t="str">
        <f>IFERROR(IF(INDEX('Attandance Tracker'!$D$3:$AH$50,MATCH($A271,'Attandance Tracker'!$A$3:$A$50,0),DAY($D271))="P","Present",IF(INDEX('Attandance Tracker'!$D$3:$AH$50,MATCH($A271,'Attandance Tracker'!$A$3:$A$50,0),DAY($D271))="A","Absent","Leave")),"")</f>
        <v>Present</v>
      </c>
    </row>
    <row r="272" spans="1:9" x14ac:dyDescent="0.25">
      <c r="A272">
        <v>1009</v>
      </c>
      <c r="B272" t="str">
        <f>_xlfn.IFNA(INDEX('Attandance Tracker'!$B$3:$B$30,MATCH($A272,'Attandance Tracker'!$A$3:$A$30,0)),"")</f>
        <v xml:space="preserve"> Arjun</v>
      </c>
      <c r="C272" s="14" t="str">
        <f>_xlfn.IFNA(INDEX('Attandance Tracker'!$C$3:$C$30,MATCH($A272,'Attandance Tracker'!$A$3:$A$30,0)),"")</f>
        <v>HR</v>
      </c>
      <c r="D272" s="14">
        <v>21</v>
      </c>
      <c r="E272" s="7">
        <v>0.375</v>
      </c>
      <c r="F272" s="7">
        <v>0.83333333333333337</v>
      </c>
      <c r="G272" s="7">
        <f t="shared" si="17"/>
        <v>0.33333333333333331</v>
      </c>
      <c r="H272" s="7">
        <f t="shared" si="18"/>
        <v>0.12500000000000006</v>
      </c>
      <c r="I272" t="str">
        <f>IFERROR(IF(INDEX('Attandance Tracker'!$D$3:$AH$50,MATCH($A272,'Attandance Tracker'!$A$3:$A$50,0),DAY($D272))="P","Present",IF(INDEX('Attandance Tracker'!$D$3:$AH$50,MATCH($A272,'Attandance Tracker'!$A$3:$A$50,0),DAY($D272))="A","Absent","Leave")),"")</f>
        <v>Present</v>
      </c>
    </row>
    <row r="273" spans="1:9" x14ac:dyDescent="0.25">
      <c r="A273">
        <v>1009</v>
      </c>
      <c r="B273" t="str">
        <f>_xlfn.IFNA(INDEX('Attandance Tracker'!$B$3:$B$30,MATCH($A273,'Attandance Tracker'!$A$3:$A$30,0)),"")</f>
        <v xml:space="preserve"> Arjun</v>
      </c>
      <c r="C273" s="14" t="str">
        <f>_xlfn.IFNA(INDEX('Attandance Tracker'!$C$3:$C$30,MATCH($A273,'Attandance Tracker'!$A$3:$A$30,0)),"")</f>
        <v>HR</v>
      </c>
      <c r="D273" s="14">
        <v>22</v>
      </c>
      <c r="E273" s="7">
        <v>0.33333333333333331</v>
      </c>
      <c r="F273" s="7">
        <v>0.83333333333333337</v>
      </c>
      <c r="G273" s="7">
        <f t="shared" si="17"/>
        <v>0.33333333333333331</v>
      </c>
      <c r="H273" s="7">
        <f t="shared" si="18"/>
        <v>0.16666666666666669</v>
      </c>
      <c r="I273" t="str">
        <f>IFERROR(IF(INDEX('Attandance Tracker'!$D$3:$AH$50,MATCH($A273,'Attandance Tracker'!$A$3:$A$50,0),DAY($D273))="P","Present",IF(INDEX('Attandance Tracker'!$D$3:$AH$50,MATCH($A273,'Attandance Tracker'!$A$3:$A$50,0),DAY($D273))="A","Absent","Leave")),"")</f>
        <v>Present</v>
      </c>
    </row>
    <row r="274" spans="1:9" x14ac:dyDescent="0.25">
      <c r="A274">
        <v>1009</v>
      </c>
      <c r="B274" t="str">
        <f>_xlfn.IFNA(INDEX('Attandance Tracker'!$B$3:$B$30,MATCH($A274,'Attandance Tracker'!$A$3:$A$30,0)),"")</f>
        <v xml:space="preserve"> Arjun</v>
      </c>
      <c r="C274" s="14" t="str">
        <f>_xlfn.IFNA(INDEX('Attandance Tracker'!$C$3:$C$30,MATCH($A274,'Attandance Tracker'!$A$3:$A$30,0)),"")</f>
        <v>HR</v>
      </c>
      <c r="D274" s="14">
        <v>23</v>
      </c>
      <c r="E274" s="7">
        <v>0.33333333333333331</v>
      </c>
      <c r="F274" s="7">
        <v>0.83333333333333337</v>
      </c>
      <c r="G274" s="7">
        <f t="shared" si="17"/>
        <v>0.33333333333333331</v>
      </c>
      <c r="H274" s="7">
        <f t="shared" si="18"/>
        <v>0.16666666666666669</v>
      </c>
      <c r="I274" t="str">
        <f>IFERROR(IF(INDEX('Attandance Tracker'!$D$3:$AH$50,MATCH($A274,'Attandance Tracker'!$A$3:$A$50,0),DAY($D274))="P","Present",IF(INDEX('Attandance Tracker'!$D$3:$AH$50,MATCH($A274,'Attandance Tracker'!$A$3:$A$50,0),DAY($D274))="A","Absent","Leave")),"")</f>
        <v>Present</v>
      </c>
    </row>
    <row r="275" spans="1:9" x14ac:dyDescent="0.25">
      <c r="A275">
        <v>1009</v>
      </c>
      <c r="B275" t="str">
        <f>_xlfn.IFNA(INDEX('Attandance Tracker'!$B$3:$B$30,MATCH($A275,'Attandance Tracker'!$A$3:$A$30,0)),"")</f>
        <v xml:space="preserve"> Arjun</v>
      </c>
      <c r="C275" s="14" t="str">
        <f>_xlfn.IFNA(INDEX('Attandance Tracker'!$C$3:$C$30,MATCH($A275,'Attandance Tracker'!$A$3:$A$30,0)),"")</f>
        <v>HR</v>
      </c>
      <c r="D275" s="14">
        <v>24</v>
      </c>
      <c r="E275" s="7">
        <v>0.33333333333333331</v>
      </c>
      <c r="F275" s="7">
        <v>0.83333333333333337</v>
      </c>
      <c r="G275" s="7">
        <f t="shared" si="17"/>
        <v>0.33333333333333331</v>
      </c>
      <c r="H275" s="7">
        <f t="shared" si="18"/>
        <v>0</v>
      </c>
      <c r="I275" t="str">
        <f>IFERROR(IF(INDEX('Attandance Tracker'!$D$3:$AH$50,MATCH($A275,'Attandance Tracker'!$A$3:$A$50,0),DAY($D275))="P","Present",IF(INDEX('Attandance Tracker'!$D$3:$AH$50,MATCH($A275,'Attandance Tracker'!$A$3:$A$50,0),DAY($D275))="A","Absent","Leave")),"")</f>
        <v>Absent</v>
      </c>
    </row>
    <row r="276" spans="1:9" x14ac:dyDescent="0.25">
      <c r="A276">
        <v>1009</v>
      </c>
      <c r="B276" t="str">
        <f>_xlfn.IFNA(INDEX('Attandance Tracker'!$B$3:$B$30,MATCH($A276,'Attandance Tracker'!$A$3:$A$30,0)),"")</f>
        <v xml:space="preserve"> Arjun</v>
      </c>
      <c r="C276" s="14" t="str">
        <f>_xlfn.IFNA(INDEX('Attandance Tracker'!$C$3:$C$30,MATCH($A276,'Attandance Tracker'!$A$3:$A$30,0)),"")</f>
        <v>HR</v>
      </c>
      <c r="D276" s="14">
        <v>25</v>
      </c>
      <c r="E276" s="7">
        <v>0.33333333333333331</v>
      </c>
      <c r="F276" s="7">
        <v>0.79166666666666663</v>
      </c>
      <c r="G276" s="7">
        <f t="shared" si="17"/>
        <v>0.33333333333333331</v>
      </c>
      <c r="H276" s="7">
        <f t="shared" si="18"/>
        <v>0</v>
      </c>
      <c r="I276" t="str">
        <f>IFERROR(IF(INDEX('Attandance Tracker'!$D$3:$AH$50,MATCH($A276,'Attandance Tracker'!$A$3:$A$50,0),DAY($D276))="P","Present",IF(INDEX('Attandance Tracker'!$D$3:$AH$50,MATCH($A276,'Attandance Tracker'!$A$3:$A$50,0),DAY($D276))="A","Absent","Leave")),"")</f>
        <v>Absent</v>
      </c>
    </row>
    <row r="277" spans="1:9" x14ac:dyDescent="0.25">
      <c r="A277">
        <v>1009</v>
      </c>
      <c r="B277" t="str">
        <f>_xlfn.IFNA(INDEX('Attandance Tracker'!$B$3:$B$30,MATCH($A277,'Attandance Tracker'!$A$3:$A$30,0)),"")</f>
        <v xml:space="preserve"> Arjun</v>
      </c>
      <c r="C277" s="14" t="str">
        <f>_xlfn.IFNA(INDEX('Attandance Tracker'!$C$3:$C$30,MATCH($A277,'Attandance Tracker'!$A$3:$A$30,0)),"")</f>
        <v>HR</v>
      </c>
      <c r="D277" s="14">
        <v>26</v>
      </c>
      <c r="E277" s="7">
        <v>0.33333333333333331</v>
      </c>
      <c r="F277" s="7">
        <v>0.75</v>
      </c>
      <c r="G277" s="7">
        <f t="shared" si="17"/>
        <v>0</v>
      </c>
      <c r="H277" s="7">
        <f t="shared" si="18"/>
        <v>0</v>
      </c>
      <c r="I277" t="str">
        <f>IFERROR(IF(INDEX('Attandance Tracker'!$D$3:$AH$50,MATCH($A277,'Attandance Tracker'!$A$3:$A$50,0),DAY($D277))="P","Present",IF(INDEX('Attandance Tracker'!$D$3:$AH$50,MATCH($A277,'Attandance Tracker'!$A$3:$A$50,0),DAY($D277))="A","Absent","Leave")),"")</f>
        <v>Leave</v>
      </c>
    </row>
    <row r="278" spans="1:9" x14ac:dyDescent="0.25">
      <c r="A278">
        <v>1009</v>
      </c>
      <c r="B278" t="str">
        <f>_xlfn.IFNA(INDEX('Attandance Tracker'!$B$3:$B$30,MATCH($A278,'Attandance Tracker'!$A$3:$A$30,0)),"")</f>
        <v xml:space="preserve"> Arjun</v>
      </c>
      <c r="C278" s="14" t="str">
        <f>_xlfn.IFNA(INDEX('Attandance Tracker'!$C$3:$C$30,MATCH($A278,'Attandance Tracker'!$A$3:$A$30,0)),"")</f>
        <v>HR</v>
      </c>
      <c r="D278" s="14">
        <v>27</v>
      </c>
      <c r="E278" s="7">
        <v>0.33333333333333331</v>
      </c>
      <c r="F278" s="7">
        <v>0.83333333333333337</v>
      </c>
      <c r="G278" s="7">
        <f t="shared" si="17"/>
        <v>0.33333333333333331</v>
      </c>
      <c r="H278" s="7">
        <f t="shared" si="18"/>
        <v>0.16666666666666669</v>
      </c>
      <c r="I278" t="str">
        <f>IFERROR(IF(INDEX('Attandance Tracker'!$D$3:$AH$50,MATCH($A278,'Attandance Tracker'!$A$3:$A$50,0),DAY($D278))="P","Present",IF(INDEX('Attandance Tracker'!$D$3:$AH$50,MATCH($A278,'Attandance Tracker'!$A$3:$A$50,0),DAY($D278))="A","Absent","Leave")),"")</f>
        <v>Present</v>
      </c>
    </row>
    <row r="279" spans="1:9" x14ac:dyDescent="0.25">
      <c r="A279">
        <v>1009</v>
      </c>
      <c r="B279" t="str">
        <f>_xlfn.IFNA(INDEX('Attandance Tracker'!$B$3:$B$30,MATCH($A279,'Attandance Tracker'!$A$3:$A$30,0)),"")</f>
        <v xml:space="preserve"> Arjun</v>
      </c>
      <c r="C279" s="14" t="str">
        <f>_xlfn.IFNA(INDEX('Attandance Tracker'!$C$3:$C$30,MATCH($A279,'Attandance Tracker'!$A$3:$A$30,0)),"")</f>
        <v>HR</v>
      </c>
      <c r="D279" s="14">
        <v>28</v>
      </c>
      <c r="E279" s="7">
        <v>0.33333333333333331</v>
      </c>
      <c r="F279" s="17">
        <v>0.75</v>
      </c>
      <c r="G279" s="7">
        <f t="shared" si="17"/>
        <v>0.33333333333333331</v>
      </c>
      <c r="H279" s="7">
        <f t="shared" si="18"/>
        <v>8.333333333333337E-2</v>
      </c>
      <c r="I279" t="str">
        <f>IFERROR(IF(INDEX('Attandance Tracker'!$D$3:$AH$50,MATCH($A279,'Attandance Tracker'!$A$3:$A$50,0),DAY($D279))="P","Present",IF(INDEX('Attandance Tracker'!$D$3:$AH$50,MATCH($A279,'Attandance Tracker'!$A$3:$A$50,0),DAY($D279))="A","Absent","Leave")),"")</f>
        <v>Present</v>
      </c>
    </row>
    <row r="280" spans="1:9" x14ac:dyDescent="0.25">
      <c r="A280">
        <v>1009</v>
      </c>
      <c r="B280" t="str">
        <f>_xlfn.IFNA(INDEX('Attandance Tracker'!$B$3:$B$30,MATCH($A280,'Attandance Tracker'!$A$3:$A$30,0)),"")</f>
        <v xml:space="preserve"> Arjun</v>
      </c>
      <c r="C280" s="14" t="str">
        <f>_xlfn.IFNA(INDEX('Attandance Tracker'!$C$3:$C$30,MATCH($A280,'Attandance Tracker'!$A$3:$A$30,0)),"")</f>
        <v>HR</v>
      </c>
      <c r="D280" s="14">
        <v>29</v>
      </c>
      <c r="E280" s="7">
        <v>0.375</v>
      </c>
      <c r="F280" s="7">
        <v>0.83333333333333337</v>
      </c>
      <c r="G280" s="7">
        <f t="shared" si="17"/>
        <v>0.33333333333333331</v>
      </c>
      <c r="H280" s="7">
        <f t="shared" si="18"/>
        <v>0.12500000000000006</v>
      </c>
      <c r="I280" t="str">
        <f>IFERROR(IF(INDEX('Attandance Tracker'!$D$3:$AH$50,MATCH($A280,'Attandance Tracker'!$A$3:$A$50,0),DAY($D280))="P","Present",IF(INDEX('Attandance Tracker'!$D$3:$AH$50,MATCH($A280,'Attandance Tracker'!$A$3:$A$50,0),DAY($D280))="A","Absent","Leave")),"")</f>
        <v>Present</v>
      </c>
    </row>
    <row r="281" spans="1:9" x14ac:dyDescent="0.25">
      <c r="A281">
        <v>1009</v>
      </c>
      <c r="B281" t="str">
        <f>_xlfn.IFNA(INDEX('Attandance Tracker'!$B$3:$B$30,MATCH($A281,'Attandance Tracker'!$A$3:$A$30,0)),"")</f>
        <v xml:space="preserve"> Arjun</v>
      </c>
      <c r="C281" s="14" t="str">
        <f>_xlfn.IFNA(INDEX('Attandance Tracker'!$C$3:$C$30,MATCH($A281,'Attandance Tracker'!$A$3:$A$30,0)),"")</f>
        <v>HR</v>
      </c>
      <c r="D281" s="14">
        <v>30</v>
      </c>
      <c r="E281" s="7">
        <v>0.375</v>
      </c>
      <c r="F281" s="7">
        <v>0.79166666666666663</v>
      </c>
      <c r="G281" s="7">
        <f t="shared" si="17"/>
        <v>0</v>
      </c>
      <c r="H281" s="7">
        <f t="shared" si="18"/>
        <v>0</v>
      </c>
      <c r="I281" t="str">
        <f>IFERROR(IF(INDEX('Attandance Tracker'!$D$3:$AH$50,MATCH($A281,'Attandance Tracker'!$A$3:$A$50,0),DAY($D281))="P","Present",IF(INDEX('Attandance Tracker'!$D$3:$AH$50,MATCH($A281,'Attandance Tracker'!$A$3:$A$50,0),DAY($D281))="A","Absent","Leave")),"")</f>
        <v>Leave</v>
      </c>
    </row>
    <row r="282" spans="1:9" x14ac:dyDescent="0.25">
      <c r="A282">
        <v>1009</v>
      </c>
      <c r="B282" t="str">
        <f>_xlfn.IFNA(INDEX('Attandance Tracker'!$B$3:$B$30,MATCH($A282,'Attandance Tracker'!$A$3:$A$30,0)),"")</f>
        <v xml:space="preserve"> Arjun</v>
      </c>
      <c r="C282" s="14" t="str">
        <f>_xlfn.IFNA(INDEX('Attandance Tracker'!$C$3:$C$30,MATCH($A282,'Attandance Tracker'!$A$3:$A$30,0)),"")</f>
        <v>HR</v>
      </c>
      <c r="D282" s="14">
        <v>31</v>
      </c>
      <c r="E282" s="7">
        <v>0.375</v>
      </c>
      <c r="F282" s="7">
        <v>0.75</v>
      </c>
      <c r="G282" s="7">
        <f t="shared" si="17"/>
        <v>0</v>
      </c>
      <c r="H282" s="7">
        <f t="shared" si="18"/>
        <v>0</v>
      </c>
      <c r="I282" t="str">
        <f>IFERROR(IF(INDEX('Attandance Tracker'!$D$3:$AH$50,MATCH($A282,'Attandance Tracker'!$A$3:$A$50,0),DAY($D282))="P","Present",IF(INDEX('Attandance Tracker'!$D$3:$AH$50,MATCH($A282,'Attandance Tracker'!$A$3:$A$50,0),DAY($D282))="A","Absent","Leave")),"")</f>
        <v>Leave</v>
      </c>
    </row>
    <row r="283" spans="1:9" x14ac:dyDescent="0.25">
      <c r="A283">
        <v>1010</v>
      </c>
      <c r="B283" t="str">
        <f>_xlfn.IFNA(INDEX('Attandance Tracker'!$B$3:$B$30,MATCH($A283,'Attandance Tracker'!$A$3:$A$30,0)),"")</f>
        <v xml:space="preserve"> Sneha</v>
      </c>
      <c r="C283" s="14" t="str">
        <f>_xlfn.IFNA(INDEX('Attandance Tracker'!$C$3:$C$30,MATCH($A283,'Attandance Tracker'!$A$3:$A$30,0)),"")</f>
        <v>Finance</v>
      </c>
      <c r="D283" s="14">
        <v>1</v>
      </c>
      <c r="E283" s="7">
        <v>0.33333333333333331</v>
      </c>
      <c r="F283" s="7">
        <v>0.83333333333333337</v>
      </c>
      <c r="G283" s="7">
        <f t="shared" si="17"/>
        <v>0.33333333333333331</v>
      </c>
      <c r="H283" s="7">
        <f t="shared" si="18"/>
        <v>0.16666666666666669</v>
      </c>
      <c r="I283" t="str">
        <f>IFERROR(IF(INDEX('Attandance Tracker'!$D$3:$AH$50,MATCH($A283,'Attandance Tracker'!$A$3:$A$50,0),DAY($D283))="P","Present",IF(INDEX('Attandance Tracker'!$D$3:$AH$50,MATCH($A283,'Attandance Tracker'!$A$3:$A$50,0),DAY($D283))="A","Absent","Leave")),"")</f>
        <v>Present</v>
      </c>
    </row>
    <row r="284" spans="1:9" x14ac:dyDescent="0.25">
      <c r="A284">
        <v>1010</v>
      </c>
      <c r="B284" t="str">
        <f>_xlfn.IFNA(INDEX('Attandance Tracker'!$B$3:$B$30,MATCH($A284,'Attandance Tracker'!$A$3:$A$30,0)),"")</f>
        <v xml:space="preserve"> Sneha</v>
      </c>
      <c r="C284" s="14" t="str">
        <f>_xlfn.IFNA(INDEX('Attandance Tracker'!$C$3:$C$30,MATCH($A284,'Attandance Tracker'!$A$3:$A$30,0)),"")</f>
        <v>Finance</v>
      </c>
      <c r="D284" s="14">
        <v>2</v>
      </c>
      <c r="E284" s="7">
        <v>0.33333333333333331</v>
      </c>
      <c r="F284" s="7">
        <v>0.83333333333333337</v>
      </c>
      <c r="G284" s="7">
        <f t="shared" si="17"/>
        <v>0.33333333333333331</v>
      </c>
      <c r="H284" s="7">
        <f t="shared" si="18"/>
        <v>0.16666666666666669</v>
      </c>
      <c r="I284" t="str">
        <f>IFERROR(IF(INDEX('Attandance Tracker'!$D$3:$AH$50,MATCH($A284,'Attandance Tracker'!$A$3:$A$50,0),DAY($D284))="P","Present",IF(INDEX('Attandance Tracker'!$D$3:$AH$50,MATCH($A284,'Attandance Tracker'!$A$3:$A$50,0),DAY($D284))="A","Absent","Leave")),"")</f>
        <v>Present</v>
      </c>
    </row>
    <row r="285" spans="1:9" x14ac:dyDescent="0.25">
      <c r="A285">
        <v>1010</v>
      </c>
      <c r="B285" t="str">
        <f>_xlfn.IFNA(INDEX('Attandance Tracker'!$B$3:$B$30,MATCH($A285,'Attandance Tracker'!$A$3:$A$30,0)),"")</f>
        <v xml:space="preserve"> Sneha</v>
      </c>
      <c r="C285" s="14" t="str">
        <f>_xlfn.IFNA(INDEX('Attandance Tracker'!$C$3:$C$30,MATCH($A285,'Attandance Tracker'!$A$3:$A$30,0)),"")</f>
        <v>Finance</v>
      </c>
      <c r="D285" s="14">
        <v>3</v>
      </c>
      <c r="E285" s="7">
        <v>0.375</v>
      </c>
      <c r="F285" s="7">
        <v>0.79166666666666663</v>
      </c>
      <c r="G285" s="7">
        <f t="shared" si="17"/>
        <v>0.33333333333333331</v>
      </c>
      <c r="H285" s="7">
        <f t="shared" si="18"/>
        <v>8.3333333333333315E-2</v>
      </c>
      <c r="I285" t="str">
        <f>IFERROR(IF(INDEX('Attandance Tracker'!$D$3:$AH$50,MATCH($A285,'Attandance Tracker'!$A$3:$A$50,0),DAY($D285))="P","Present",IF(INDEX('Attandance Tracker'!$D$3:$AH$50,MATCH($A285,'Attandance Tracker'!$A$3:$A$50,0),DAY($D285))="A","Absent","Leave")),"")</f>
        <v>Present</v>
      </c>
    </row>
    <row r="286" spans="1:9" x14ac:dyDescent="0.25">
      <c r="A286">
        <v>1010</v>
      </c>
      <c r="B286" t="str">
        <f>_xlfn.IFNA(INDEX('Attandance Tracker'!$B$3:$B$30,MATCH($A286,'Attandance Tracker'!$A$3:$A$30,0)),"")</f>
        <v xml:space="preserve"> Sneha</v>
      </c>
      <c r="C286" s="14" t="str">
        <f>_xlfn.IFNA(INDEX('Attandance Tracker'!$C$3:$C$30,MATCH($A286,'Attandance Tracker'!$A$3:$A$30,0)),"")</f>
        <v>Finance</v>
      </c>
      <c r="D286" s="14">
        <v>4</v>
      </c>
      <c r="E286" s="7">
        <v>0.375</v>
      </c>
      <c r="F286" s="7">
        <v>0.83333333333333337</v>
      </c>
      <c r="G286" s="7">
        <f t="shared" si="17"/>
        <v>0</v>
      </c>
      <c r="H286" s="7">
        <f t="shared" si="18"/>
        <v>0</v>
      </c>
      <c r="I286" t="str">
        <f>IFERROR(IF(INDEX('Attandance Tracker'!$D$3:$AH$50,MATCH($A286,'Attandance Tracker'!$A$3:$A$50,0),DAY($D286))="P","Present",IF(INDEX('Attandance Tracker'!$D$3:$AH$50,MATCH($A286,'Attandance Tracker'!$A$3:$A$50,0),DAY($D286))="A","Absent","Leave")),"")</f>
        <v>Leave</v>
      </c>
    </row>
    <row r="287" spans="1:9" x14ac:dyDescent="0.25">
      <c r="A287">
        <v>1010</v>
      </c>
      <c r="B287" t="str">
        <f>_xlfn.IFNA(INDEX('Attandance Tracker'!$B$3:$B$30,MATCH($A287,'Attandance Tracker'!$A$3:$A$30,0)),"")</f>
        <v xml:space="preserve"> Sneha</v>
      </c>
      <c r="C287" s="14" t="str">
        <f>_xlfn.IFNA(INDEX('Attandance Tracker'!$C$3:$C$30,MATCH($A287,'Attandance Tracker'!$A$3:$A$30,0)),"")</f>
        <v>Finance</v>
      </c>
      <c r="D287" s="14">
        <v>5</v>
      </c>
      <c r="E287" s="7">
        <v>0.375</v>
      </c>
      <c r="F287" s="7">
        <v>0.83333333333333337</v>
      </c>
      <c r="G287" s="7">
        <f t="shared" si="17"/>
        <v>0</v>
      </c>
      <c r="H287" s="7">
        <f t="shared" si="18"/>
        <v>0</v>
      </c>
      <c r="I287" t="str">
        <f>IFERROR(IF(INDEX('Attandance Tracker'!$D$3:$AH$50,MATCH($A287,'Attandance Tracker'!$A$3:$A$50,0),DAY($D287))="P","Present",IF(INDEX('Attandance Tracker'!$D$3:$AH$50,MATCH($A287,'Attandance Tracker'!$A$3:$A$50,0),DAY($D287))="A","Absent","Leave")),"")</f>
        <v>Leave</v>
      </c>
    </row>
    <row r="288" spans="1:9" x14ac:dyDescent="0.25">
      <c r="A288">
        <v>1010</v>
      </c>
      <c r="B288" t="str">
        <f>_xlfn.IFNA(INDEX('Attandance Tracker'!$B$3:$B$30,MATCH($A288,'Attandance Tracker'!$A$3:$A$30,0)),"")</f>
        <v xml:space="preserve"> Sneha</v>
      </c>
      <c r="C288" s="14" t="str">
        <f>_xlfn.IFNA(INDEX('Attandance Tracker'!$C$3:$C$30,MATCH($A288,'Attandance Tracker'!$A$3:$A$30,0)),"")</f>
        <v>Finance</v>
      </c>
      <c r="D288" s="14">
        <v>6</v>
      </c>
      <c r="E288" s="7">
        <v>0.33333333333333331</v>
      </c>
      <c r="F288" s="7">
        <v>0.79166666666666663</v>
      </c>
      <c r="G288" s="7">
        <f t="shared" si="17"/>
        <v>0.33333333333333331</v>
      </c>
      <c r="H288" s="7">
        <f t="shared" si="18"/>
        <v>0.125</v>
      </c>
      <c r="I288" t="str">
        <f>IFERROR(IF(INDEX('Attandance Tracker'!$D$3:$AH$50,MATCH($A288,'Attandance Tracker'!$A$3:$A$50,0),DAY($D288))="P","Present",IF(INDEX('Attandance Tracker'!$D$3:$AH$50,MATCH($A288,'Attandance Tracker'!$A$3:$A$50,0),DAY($D288))="A","Absent","Leave")),"")</f>
        <v>Present</v>
      </c>
    </row>
    <row r="289" spans="1:9" x14ac:dyDescent="0.25">
      <c r="A289">
        <v>1010</v>
      </c>
      <c r="B289" t="str">
        <f>_xlfn.IFNA(INDEX('Attandance Tracker'!$B$3:$B$30,MATCH($A289,'Attandance Tracker'!$A$3:$A$30,0)),"")</f>
        <v xml:space="preserve"> Sneha</v>
      </c>
      <c r="C289" s="14" t="str">
        <f>_xlfn.IFNA(INDEX('Attandance Tracker'!$C$3:$C$30,MATCH($A289,'Attandance Tracker'!$A$3:$A$30,0)),"")</f>
        <v>Finance</v>
      </c>
      <c r="D289" s="14">
        <v>7</v>
      </c>
      <c r="E289" s="7">
        <v>0.33333333333333331</v>
      </c>
      <c r="F289" s="7">
        <v>0.83333333333333337</v>
      </c>
      <c r="G289" s="7">
        <f t="shared" si="17"/>
        <v>0.33333333333333331</v>
      </c>
      <c r="H289" s="7">
        <f t="shared" si="18"/>
        <v>0.16666666666666669</v>
      </c>
      <c r="I289" t="str">
        <f>IFERROR(IF(INDEX('Attandance Tracker'!$D$3:$AH$50,MATCH($A289,'Attandance Tracker'!$A$3:$A$50,0),DAY($D289))="P","Present",IF(INDEX('Attandance Tracker'!$D$3:$AH$50,MATCH($A289,'Attandance Tracker'!$A$3:$A$50,0),DAY($D289))="A","Absent","Leave")),"")</f>
        <v>Present</v>
      </c>
    </row>
    <row r="290" spans="1:9" x14ac:dyDescent="0.25">
      <c r="A290">
        <v>1010</v>
      </c>
      <c r="B290" t="str">
        <f>_xlfn.IFNA(INDEX('Attandance Tracker'!$B$3:$B$30,MATCH($A290,'Attandance Tracker'!$A$3:$A$30,0)),"")</f>
        <v xml:space="preserve"> Sneha</v>
      </c>
      <c r="C290" s="14" t="str">
        <f>_xlfn.IFNA(INDEX('Attandance Tracker'!$C$3:$C$30,MATCH($A290,'Attandance Tracker'!$A$3:$A$30,0)),"")</f>
        <v>Finance</v>
      </c>
      <c r="D290" s="14">
        <v>8</v>
      </c>
      <c r="E290" s="7">
        <v>0.33333333333333331</v>
      </c>
      <c r="F290" s="7">
        <v>0.75</v>
      </c>
      <c r="G290" s="7">
        <f t="shared" si="17"/>
        <v>0.33333333333333331</v>
      </c>
      <c r="H290" s="7">
        <f t="shared" si="18"/>
        <v>8.333333333333337E-2</v>
      </c>
      <c r="I290" t="str">
        <f>IFERROR(IF(INDEX('Attandance Tracker'!$D$3:$AH$50,MATCH($A290,'Attandance Tracker'!$A$3:$A$50,0),DAY($D290))="P","Present",IF(INDEX('Attandance Tracker'!$D$3:$AH$50,MATCH($A290,'Attandance Tracker'!$A$3:$A$50,0),DAY($D290))="A","Absent","Leave")),"")</f>
        <v>Present</v>
      </c>
    </row>
    <row r="291" spans="1:9" x14ac:dyDescent="0.25">
      <c r="A291">
        <v>1010</v>
      </c>
      <c r="B291" t="str">
        <f>_xlfn.IFNA(INDEX('Attandance Tracker'!$B$3:$B$30,MATCH($A291,'Attandance Tracker'!$A$3:$A$30,0)),"")</f>
        <v xml:space="preserve"> Sneha</v>
      </c>
      <c r="C291" s="14" t="str">
        <f>_xlfn.IFNA(INDEX('Attandance Tracker'!$C$3:$C$30,MATCH($A291,'Attandance Tracker'!$A$3:$A$30,0)),"")</f>
        <v>Finance</v>
      </c>
      <c r="D291" s="14">
        <v>9</v>
      </c>
      <c r="E291" s="7">
        <v>0.33333333333333331</v>
      </c>
      <c r="F291" s="7">
        <v>0.83333333333333337</v>
      </c>
      <c r="G291" s="7">
        <f t="shared" si="17"/>
        <v>0.33333333333333331</v>
      </c>
      <c r="H291" s="7">
        <f t="shared" si="18"/>
        <v>0</v>
      </c>
      <c r="I291" t="str">
        <f>IFERROR(IF(INDEX('Attandance Tracker'!$D$3:$AH$50,MATCH($A291,'Attandance Tracker'!$A$3:$A$50,0),DAY($D291))="P","Present",IF(INDEX('Attandance Tracker'!$D$3:$AH$50,MATCH($A291,'Attandance Tracker'!$A$3:$A$50,0),DAY($D291))="A","Absent","Leave")),"")</f>
        <v>Absent</v>
      </c>
    </row>
    <row r="292" spans="1:9" x14ac:dyDescent="0.25">
      <c r="A292">
        <v>1010</v>
      </c>
      <c r="B292" t="str">
        <f>_xlfn.IFNA(INDEX('Attandance Tracker'!$B$3:$B$30,MATCH($A292,'Attandance Tracker'!$A$3:$A$30,0)),"")</f>
        <v xml:space="preserve"> Sneha</v>
      </c>
      <c r="C292" s="14" t="str">
        <f>_xlfn.IFNA(INDEX('Attandance Tracker'!$C$3:$C$30,MATCH($A292,'Attandance Tracker'!$A$3:$A$30,0)),"")</f>
        <v>Finance</v>
      </c>
      <c r="D292" s="14">
        <v>10</v>
      </c>
      <c r="E292" s="7">
        <v>0.33333333333333331</v>
      </c>
      <c r="F292" s="7">
        <v>0.83333333333333337</v>
      </c>
      <c r="G292" s="7">
        <f t="shared" si="17"/>
        <v>0.33333333333333331</v>
      </c>
      <c r="H292" s="7">
        <f t="shared" si="18"/>
        <v>0.16666666666666669</v>
      </c>
      <c r="I292" t="str">
        <f>IFERROR(IF(INDEX('Attandance Tracker'!$D$3:$AH$50,MATCH($A292,'Attandance Tracker'!$A$3:$A$50,0),DAY($D292))="P","Present",IF(INDEX('Attandance Tracker'!$D$3:$AH$50,MATCH($A292,'Attandance Tracker'!$A$3:$A$50,0),DAY($D292))="A","Absent","Leave")),"")</f>
        <v>Present</v>
      </c>
    </row>
    <row r="293" spans="1:9" x14ac:dyDescent="0.25">
      <c r="A293">
        <v>1010</v>
      </c>
      <c r="B293" t="str">
        <f>_xlfn.IFNA(INDEX('Attandance Tracker'!$B$3:$B$30,MATCH($A293,'Attandance Tracker'!$A$3:$A$30,0)),"")</f>
        <v xml:space="preserve"> Sneha</v>
      </c>
      <c r="C293" s="14" t="str">
        <f>_xlfn.IFNA(INDEX('Attandance Tracker'!$C$3:$C$30,MATCH($A293,'Attandance Tracker'!$A$3:$A$30,0)),"")</f>
        <v>Finance</v>
      </c>
      <c r="D293" s="14">
        <v>11</v>
      </c>
      <c r="E293" s="7">
        <v>0.33333333333333331</v>
      </c>
      <c r="F293" s="7">
        <v>0.83333333333333337</v>
      </c>
      <c r="G293" s="7">
        <f t="shared" si="17"/>
        <v>0.33333333333333331</v>
      </c>
      <c r="H293" s="7">
        <f t="shared" si="18"/>
        <v>0.16666666666666669</v>
      </c>
      <c r="I293" t="str">
        <f>IFERROR(IF(INDEX('Attandance Tracker'!$D$3:$AH$50,MATCH($A293,'Attandance Tracker'!$A$3:$A$50,0),DAY($D293))="P","Present",IF(INDEX('Attandance Tracker'!$D$3:$AH$50,MATCH($A293,'Attandance Tracker'!$A$3:$A$50,0),DAY($D293))="A","Absent","Leave")),"")</f>
        <v>Present</v>
      </c>
    </row>
    <row r="294" spans="1:9" x14ac:dyDescent="0.25">
      <c r="A294">
        <v>1010</v>
      </c>
      <c r="B294" t="str">
        <f>_xlfn.IFNA(INDEX('Attandance Tracker'!$B$3:$B$30,MATCH($A294,'Attandance Tracker'!$A$3:$A$30,0)),"")</f>
        <v xml:space="preserve"> Sneha</v>
      </c>
      <c r="C294" s="14" t="str">
        <f>_xlfn.IFNA(INDEX('Attandance Tracker'!$C$3:$C$30,MATCH($A294,'Attandance Tracker'!$A$3:$A$30,0)),"")</f>
        <v>Finance</v>
      </c>
      <c r="D294" s="14">
        <v>12</v>
      </c>
      <c r="E294" s="7">
        <v>0.33333333333333331</v>
      </c>
      <c r="F294" s="7">
        <v>0.83333333333333337</v>
      </c>
      <c r="G294" s="7">
        <f t="shared" si="17"/>
        <v>0.33333333333333331</v>
      </c>
      <c r="H294" s="7">
        <f t="shared" si="18"/>
        <v>0.16666666666666669</v>
      </c>
      <c r="I294" t="str">
        <f>IFERROR(IF(INDEX('Attandance Tracker'!$D$3:$AH$50,MATCH($A294,'Attandance Tracker'!$A$3:$A$50,0),DAY($D294))="P","Present",IF(INDEX('Attandance Tracker'!$D$3:$AH$50,MATCH($A294,'Attandance Tracker'!$A$3:$A$50,0),DAY($D294))="A","Absent","Leave")),"")</f>
        <v>Present</v>
      </c>
    </row>
    <row r="295" spans="1:9" x14ac:dyDescent="0.25">
      <c r="A295">
        <v>1010</v>
      </c>
      <c r="B295" t="str">
        <f>_xlfn.IFNA(INDEX('Attandance Tracker'!$B$3:$B$30,MATCH($A295,'Attandance Tracker'!$A$3:$A$30,0)),"")</f>
        <v xml:space="preserve"> Sneha</v>
      </c>
      <c r="C295" s="14" t="str">
        <f>_xlfn.IFNA(INDEX('Attandance Tracker'!$C$3:$C$30,MATCH($A295,'Attandance Tracker'!$A$3:$A$30,0)),"")</f>
        <v>Finance</v>
      </c>
      <c r="D295" s="14">
        <v>13</v>
      </c>
      <c r="E295" s="7">
        <v>0.375</v>
      </c>
      <c r="F295" s="7">
        <v>0.83333333333333337</v>
      </c>
      <c r="G295" s="7">
        <f t="shared" si="17"/>
        <v>0.33333333333333331</v>
      </c>
      <c r="H295" s="7">
        <f t="shared" si="18"/>
        <v>0.12500000000000006</v>
      </c>
      <c r="I295" t="str">
        <f>IFERROR(IF(INDEX('Attandance Tracker'!$D$3:$AH$50,MATCH($A295,'Attandance Tracker'!$A$3:$A$50,0),DAY($D295))="P","Present",IF(INDEX('Attandance Tracker'!$D$3:$AH$50,MATCH($A295,'Attandance Tracker'!$A$3:$A$50,0),DAY($D295))="A","Absent","Leave")),"")</f>
        <v>Present</v>
      </c>
    </row>
    <row r="296" spans="1:9" x14ac:dyDescent="0.25">
      <c r="A296">
        <v>1010</v>
      </c>
      <c r="B296" t="str">
        <f>_xlfn.IFNA(INDEX('Attandance Tracker'!$B$3:$B$30,MATCH($A296,'Attandance Tracker'!$A$3:$A$30,0)),"")</f>
        <v xml:space="preserve"> Sneha</v>
      </c>
      <c r="C296" s="14" t="str">
        <f>_xlfn.IFNA(INDEX('Attandance Tracker'!$C$3:$C$30,MATCH($A296,'Attandance Tracker'!$A$3:$A$30,0)),"")</f>
        <v>Finance</v>
      </c>
      <c r="D296" s="14">
        <v>14</v>
      </c>
      <c r="E296" s="7">
        <v>0.375</v>
      </c>
      <c r="F296" s="7">
        <v>0.83333333333333337</v>
      </c>
      <c r="G296" s="7">
        <f t="shared" si="17"/>
        <v>0.33333333333333331</v>
      </c>
      <c r="H296" s="7">
        <f t="shared" si="18"/>
        <v>0.12500000000000006</v>
      </c>
      <c r="I296" t="str">
        <f>IFERROR(IF(INDEX('Attandance Tracker'!$D$3:$AH$50,MATCH($A296,'Attandance Tracker'!$A$3:$A$50,0),DAY($D296))="P","Present",IF(INDEX('Attandance Tracker'!$D$3:$AH$50,MATCH($A296,'Attandance Tracker'!$A$3:$A$50,0),DAY($D296))="A","Absent","Leave")),"")</f>
        <v>Present</v>
      </c>
    </row>
    <row r="297" spans="1:9" x14ac:dyDescent="0.25">
      <c r="A297">
        <v>1010</v>
      </c>
      <c r="B297" t="str">
        <f>_xlfn.IFNA(INDEX('Attandance Tracker'!$B$3:$B$30,MATCH($A297,'Attandance Tracker'!$A$3:$A$30,0)),"")</f>
        <v xml:space="preserve"> Sneha</v>
      </c>
      <c r="C297" s="14" t="str">
        <f>_xlfn.IFNA(INDEX('Attandance Tracker'!$C$3:$C$30,MATCH($A297,'Attandance Tracker'!$A$3:$A$30,0)),"")</f>
        <v>Finance</v>
      </c>
      <c r="D297" s="14">
        <v>15</v>
      </c>
      <c r="E297" s="7">
        <v>0.375</v>
      </c>
      <c r="F297" s="7">
        <v>0.83333333333333337</v>
      </c>
      <c r="G297" s="7">
        <f t="shared" si="17"/>
        <v>0.33333333333333331</v>
      </c>
      <c r="H297" s="7">
        <f t="shared" si="18"/>
        <v>0.12500000000000006</v>
      </c>
      <c r="I297" t="str">
        <f>IFERROR(IF(INDEX('Attandance Tracker'!$D$3:$AH$50,MATCH($A297,'Attandance Tracker'!$A$3:$A$50,0),DAY($D297))="P","Present",IF(INDEX('Attandance Tracker'!$D$3:$AH$50,MATCH($A297,'Attandance Tracker'!$A$3:$A$50,0),DAY($D297))="A","Absent","Leave")),"")</f>
        <v>Present</v>
      </c>
    </row>
    <row r="298" spans="1:9" x14ac:dyDescent="0.25">
      <c r="A298">
        <v>1010</v>
      </c>
      <c r="B298" t="str">
        <f>_xlfn.IFNA(INDEX('Attandance Tracker'!$B$3:$B$30,MATCH($A298,'Attandance Tracker'!$A$3:$A$30,0)),"")</f>
        <v xml:space="preserve"> Sneha</v>
      </c>
      <c r="C298" s="14" t="str">
        <f>_xlfn.IFNA(INDEX('Attandance Tracker'!$C$3:$C$30,MATCH($A298,'Attandance Tracker'!$A$3:$A$30,0)),"")</f>
        <v>Finance</v>
      </c>
      <c r="D298" s="14">
        <v>16</v>
      </c>
      <c r="E298" s="7">
        <v>0.33333333333333331</v>
      </c>
      <c r="F298" s="7">
        <v>0.79166666666666663</v>
      </c>
      <c r="G298" s="7">
        <f t="shared" si="17"/>
        <v>0.33333333333333331</v>
      </c>
      <c r="H298" s="7">
        <f t="shared" si="18"/>
        <v>0.125</v>
      </c>
      <c r="I298" t="str">
        <f>IFERROR(IF(INDEX('Attandance Tracker'!$D$3:$AH$50,MATCH($A298,'Attandance Tracker'!$A$3:$A$50,0),DAY($D298))="P","Present",IF(INDEX('Attandance Tracker'!$D$3:$AH$50,MATCH($A298,'Attandance Tracker'!$A$3:$A$50,0),DAY($D298))="A","Absent","Leave")),"")</f>
        <v>Present</v>
      </c>
    </row>
    <row r="299" spans="1:9" x14ac:dyDescent="0.25">
      <c r="A299">
        <v>1010</v>
      </c>
      <c r="B299" t="str">
        <f>_xlfn.IFNA(INDEX('Attandance Tracker'!$B$3:$B$30,MATCH($A299,'Attandance Tracker'!$A$3:$A$30,0)),"")</f>
        <v xml:space="preserve"> Sneha</v>
      </c>
      <c r="C299" s="14" t="str">
        <f>_xlfn.IFNA(INDEX('Attandance Tracker'!$C$3:$C$30,MATCH($A299,'Attandance Tracker'!$A$3:$A$30,0)),"")</f>
        <v>Finance</v>
      </c>
      <c r="D299" s="14">
        <v>17</v>
      </c>
      <c r="E299" s="7">
        <v>0.33333333333333331</v>
      </c>
      <c r="F299" s="7">
        <v>0.75</v>
      </c>
      <c r="G299" s="7">
        <f t="shared" si="17"/>
        <v>0.33333333333333331</v>
      </c>
      <c r="H299" s="7">
        <f t="shared" si="18"/>
        <v>8.333333333333337E-2</v>
      </c>
      <c r="I299" t="str">
        <f>IFERROR(IF(INDEX('Attandance Tracker'!$D$3:$AH$50,MATCH($A299,'Attandance Tracker'!$A$3:$A$50,0),DAY($D299))="P","Present",IF(INDEX('Attandance Tracker'!$D$3:$AH$50,MATCH($A299,'Attandance Tracker'!$A$3:$A$50,0),DAY($D299))="A","Absent","Leave")),"")</f>
        <v>Present</v>
      </c>
    </row>
    <row r="300" spans="1:9" x14ac:dyDescent="0.25">
      <c r="A300">
        <v>1010</v>
      </c>
      <c r="B300" t="str">
        <f>_xlfn.IFNA(INDEX('Attandance Tracker'!$B$3:$B$30,MATCH($A300,'Attandance Tracker'!$A$3:$A$30,0)),"")</f>
        <v xml:space="preserve"> Sneha</v>
      </c>
      <c r="C300" s="14" t="str">
        <f>_xlfn.IFNA(INDEX('Attandance Tracker'!$C$3:$C$30,MATCH($A300,'Attandance Tracker'!$A$3:$A$30,0)),"")</f>
        <v>Finance</v>
      </c>
      <c r="D300" s="14">
        <v>18</v>
      </c>
      <c r="E300" s="7">
        <v>0.375</v>
      </c>
      <c r="F300" s="7">
        <v>0.83333333333333337</v>
      </c>
      <c r="G300" s="7">
        <f t="shared" si="17"/>
        <v>0.33333333333333331</v>
      </c>
      <c r="H300" s="7">
        <f t="shared" si="18"/>
        <v>0.12500000000000006</v>
      </c>
      <c r="I300" t="str">
        <f>IFERROR(IF(INDEX('Attandance Tracker'!$D$3:$AH$50,MATCH($A300,'Attandance Tracker'!$A$3:$A$50,0),DAY($D300))="P","Present",IF(INDEX('Attandance Tracker'!$D$3:$AH$50,MATCH($A300,'Attandance Tracker'!$A$3:$A$50,0),DAY($D300))="A","Absent","Leave")),"")</f>
        <v>Present</v>
      </c>
    </row>
    <row r="301" spans="1:9" x14ac:dyDescent="0.25">
      <c r="A301">
        <v>1010</v>
      </c>
      <c r="B301" t="str">
        <f>_xlfn.IFNA(INDEX('Attandance Tracker'!$B$3:$B$30,MATCH($A301,'Attandance Tracker'!$A$3:$A$30,0)),"")</f>
        <v xml:space="preserve"> Sneha</v>
      </c>
      <c r="C301" s="14" t="str">
        <f>_xlfn.IFNA(INDEX('Attandance Tracker'!$C$3:$C$30,MATCH($A301,'Attandance Tracker'!$A$3:$A$30,0)),"")</f>
        <v>Finance</v>
      </c>
      <c r="D301" s="14">
        <v>19</v>
      </c>
      <c r="E301" s="7">
        <v>0.375</v>
      </c>
      <c r="F301" s="17">
        <v>0.75</v>
      </c>
      <c r="G301" s="7">
        <f t="shared" si="17"/>
        <v>0.33333333333333331</v>
      </c>
      <c r="H301" s="7">
        <f t="shared" si="18"/>
        <v>4.1666666666666685E-2</v>
      </c>
      <c r="I301" t="str">
        <f>IFERROR(IF(INDEX('Attandance Tracker'!$D$3:$AH$50,MATCH($A301,'Attandance Tracker'!$A$3:$A$50,0),DAY($D301))="P","Present",IF(INDEX('Attandance Tracker'!$D$3:$AH$50,MATCH($A301,'Attandance Tracker'!$A$3:$A$50,0),DAY($D301))="A","Absent","Leave")),"")</f>
        <v>Present</v>
      </c>
    </row>
    <row r="302" spans="1:9" x14ac:dyDescent="0.25">
      <c r="A302">
        <v>1010</v>
      </c>
      <c r="B302" t="str">
        <f>_xlfn.IFNA(INDEX('Attandance Tracker'!$B$3:$B$30,MATCH($A302,'Attandance Tracker'!$A$3:$A$30,0)),"")</f>
        <v xml:space="preserve"> Sneha</v>
      </c>
      <c r="C302" s="14" t="str">
        <f>_xlfn.IFNA(INDEX('Attandance Tracker'!$C$3:$C$30,MATCH($A302,'Attandance Tracker'!$A$3:$A$30,0)),"")</f>
        <v>Finance</v>
      </c>
      <c r="D302" s="14">
        <v>20</v>
      </c>
      <c r="E302" s="7">
        <v>0.375</v>
      </c>
      <c r="F302" s="7">
        <v>0.83333333333333337</v>
      </c>
      <c r="G302" s="7">
        <f t="shared" si="17"/>
        <v>0.33333333333333331</v>
      </c>
      <c r="H302" s="7">
        <f t="shared" si="18"/>
        <v>0.12500000000000006</v>
      </c>
      <c r="I302" t="str">
        <f>IFERROR(IF(INDEX('Attandance Tracker'!$D$3:$AH$50,MATCH($A302,'Attandance Tracker'!$A$3:$A$50,0),DAY($D302))="P","Present",IF(INDEX('Attandance Tracker'!$D$3:$AH$50,MATCH($A302,'Attandance Tracker'!$A$3:$A$50,0),DAY($D302))="A","Absent","Leave")),"")</f>
        <v>Present</v>
      </c>
    </row>
    <row r="303" spans="1:9" x14ac:dyDescent="0.25">
      <c r="A303">
        <v>1010</v>
      </c>
      <c r="B303" t="str">
        <f>_xlfn.IFNA(INDEX('Attandance Tracker'!$B$3:$B$30,MATCH($A303,'Attandance Tracker'!$A$3:$A$30,0)),"")</f>
        <v xml:space="preserve"> Sneha</v>
      </c>
      <c r="C303" s="14" t="str">
        <f>_xlfn.IFNA(INDEX('Attandance Tracker'!$C$3:$C$30,MATCH($A303,'Attandance Tracker'!$A$3:$A$30,0)),"")</f>
        <v>Finance</v>
      </c>
      <c r="D303" s="14">
        <v>21</v>
      </c>
      <c r="E303" s="7">
        <v>0.33333333333333331</v>
      </c>
      <c r="F303" s="7">
        <v>0.79166666666666663</v>
      </c>
      <c r="G303" s="7">
        <f t="shared" si="17"/>
        <v>0.33333333333333331</v>
      </c>
      <c r="H303" s="7">
        <f t="shared" si="18"/>
        <v>0.125</v>
      </c>
      <c r="I303" t="str">
        <f>IFERROR(IF(INDEX('Attandance Tracker'!$D$3:$AH$50,MATCH($A303,'Attandance Tracker'!$A$3:$A$50,0),DAY($D303))="P","Present",IF(INDEX('Attandance Tracker'!$D$3:$AH$50,MATCH($A303,'Attandance Tracker'!$A$3:$A$50,0),DAY($D303))="A","Absent","Leave")),"")</f>
        <v>Present</v>
      </c>
    </row>
    <row r="304" spans="1:9" x14ac:dyDescent="0.25">
      <c r="A304">
        <v>1010</v>
      </c>
      <c r="B304" t="str">
        <f>_xlfn.IFNA(INDEX('Attandance Tracker'!$B$3:$B$30,MATCH($A304,'Attandance Tracker'!$A$3:$A$30,0)),"")</f>
        <v xml:space="preserve"> Sneha</v>
      </c>
      <c r="C304" s="14" t="str">
        <f>_xlfn.IFNA(INDEX('Attandance Tracker'!$C$3:$C$30,MATCH($A304,'Attandance Tracker'!$A$3:$A$30,0)),"")</f>
        <v>Finance</v>
      </c>
      <c r="D304" s="14">
        <v>22</v>
      </c>
      <c r="E304" s="7">
        <v>0.33333333333333331</v>
      </c>
      <c r="F304" s="7">
        <v>0.75</v>
      </c>
      <c r="G304" s="7">
        <f t="shared" si="17"/>
        <v>0.33333333333333331</v>
      </c>
      <c r="H304" s="7">
        <f t="shared" si="18"/>
        <v>8.333333333333337E-2</v>
      </c>
      <c r="I304" t="str">
        <f>IFERROR(IF(INDEX('Attandance Tracker'!$D$3:$AH$50,MATCH($A304,'Attandance Tracker'!$A$3:$A$50,0),DAY($D304))="P","Present",IF(INDEX('Attandance Tracker'!$D$3:$AH$50,MATCH($A304,'Attandance Tracker'!$A$3:$A$50,0),DAY($D304))="A","Absent","Leave")),"")</f>
        <v>Present</v>
      </c>
    </row>
    <row r="305" spans="1:9" x14ac:dyDescent="0.25">
      <c r="A305">
        <v>1010</v>
      </c>
      <c r="B305" t="str">
        <f>_xlfn.IFNA(INDEX('Attandance Tracker'!$B$3:$B$30,MATCH($A305,'Attandance Tracker'!$A$3:$A$30,0)),"")</f>
        <v xml:space="preserve"> Sneha</v>
      </c>
      <c r="C305" s="14" t="str">
        <f>_xlfn.IFNA(INDEX('Attandance Tracker'!$C$3:$C$30,MATCH($A305,'Attandance Tracker'!$A$3:$A$30,0)),"")</f>
        <v>Finance</v>
      </c>
      <c r="D305" s="14">
        <v>23</v>
      </c>
      <c r="E305" s="7">
        <v>0.33333333333333331</v>
      </c>
      <c r="F305" s="7">
        <v>0.83333333333333337</v>
      </c>
      <c r="G305" s="7">
        <f t="shared" si="17"/>
        <v>0.33333333333333331</v>
      </c>
      <c r="H305" s="7">
        <f t="shared" si="18"/>
        <v>0.16666666666666669</v>
      </c>
      <c r="I305" t="str">
        <f>IFERROR(IF(INDEX('Attandance Tracker'!$D$3:$AH$50,MATCH($A305,'Attandance Tracker'!$A$3:$A$50,0),DAY($D305))="P","Present",IF(INDEX('Attandance Tracker'!$D$3:$AH$50,MATCH($A305,'Attandance Tracker'!$A$3:$A$50,0),DAY($D305))="A","Absent","Leave")),"")</f>
        <v>Present</v>
      </c>
    </row>
    <row r="306" spans="1:9" x14ac:dyDescent="0.25">
      <c r="A306">
        <v>1010</v>
      </c>
      <c r="B306" t="str">
        <f>_xlfn.IFNA(INDEX('Attandance Tracker'!$B$3:$B$30,MATCH($A306,'Attandance Tracker'!$A$3:$A$30,0)),"")</f>
        <v xml:space="preserve"> Sneha</v>
      </c>
      <c r="C306" s="14" t="str">
        <f>_xlfn.IFNA(INDEX('Attandance Tracker'!$C$3:$C$30,MATCH($A306,'Attandance Tracker'!$A$3:$A$30,0)),"")</f>
        <v>Finance</v>
      </c>
      <c r="D306" s="14">
        <v>24</v>
      </c>
      <c r="E306" s="7">
        <v>0.33333333333333331</v>
      </c>
      <c r="F306" s="7">
        <v>0.83333333333333337</v>
      </c>
      <c r="G306" s="7">
        <f t="shared" si="17"/>
        <v>0.33333333333333331</v>
      </c>
      <c r="H306" s="7">
        <f t="shared" si="18"/>
        <v>0.16666666666666669</v>
      </c>
      <c r="I306" t="str">
        <f>IFERROR(IF(INDEX('Attandance Tracker'!$D$3:$AH$50,MATCH($A306,'Attandance Tracker'!$A$3:$A$50,0),DAY($D306))="P","Present",IF(INDEX('Attandance Tracker'!$D$3:$AH$50,MATCH($A306,'Attandance Tracker'!$A$3:$A$50,0),DAY($D306))="A","Absent","Leave")),"")</f>
        <v>Present</v>
      </c>
    </row>
    <row r="307" spans="1:9" x14ac:dyDescent="0.25">
      <c r="A307">
        <v>1010</v>
      </c>
      <c r="B307" t="str">
        <f>_xlfn.IFNA(INDEX('Attandance Tracker'!$B$3:$B$30,MATCH($A307,'Attandance Tracker'!$A$3:$A$30,0)),"")</f>
        <v xml:space="preserve"> Sneha</v>
      </c>
      <c r="C307" s="14" t="str">
        <f>_xlfn.IFNA(INDEX('Attandance Tracker'!$C$3:$C$30,MATCH($A307,'Attandance Tracker'!$A$3:$A$30,0)),"")</f>
        <v>Finance</v>
      </c>
      <c r="D307" s="14">
        <v>25</v>
      </c>
      <c r="E307" s="7">
        <v>0.33333333333333331</v>
      </c>
      <c r="F307" s="7">
        <v>0.79166666666666663</v>
      </c>
      <c r="G307" s="7">
        <f t="shared" si="17"/>
        <v>0.33333333333333331</v>
      </c>
      <c r="H307" s="7">
        <f t="shared" si="18"/>
        <v>0.125</v>
      </c>
      <c r="I307" t="str">
        <f>IFERROR(IF(INDEX('Attandance Tracker'!$D$3:$AH$50,MATCH($A307,'Attandance Tracker'!$A$3:$A$50,0),DAY($D307))="P","Present",IF(INDEX('Attandance Tracker'!$D$3:$AH$50,MATCH($A307,'Attandance Tracker'!$A$3:$A$50,0),DAY($D307))="A","Absent","Leave")),"")</f>
        <v>Present</v>
      </c>
    </row>
    <row r="308" spans="1:9" x14ac:dyDescent="0.25">
      <c r="A308">
        <v>1010</v>
      </c>
      <c r="B308" t="str">
        <f>_xlfn.IFNA(INDEX('Attandance Tracker'!$B$3:$B$30,MATCH($A308,'Attandance Tracker'!$A$3:$A$30,0)),"")</f>
        <v xml:space="preserve"> Sneha</v>
      </c>
      <c r="C308" s="14" t="str">
        <f>_xlfn.IFNA(INDEX('Attandance Tracker'!$C$3:$C$30,MATCH($A308,'Attandance Tracker'!$A$3:$A$30,0)),"")</f>
        <v>Finance</v>
      </c>
      <c r="D308" s="14">
        <v>26</v>
      </c>
      <c r="E308" s="7">
        <v>0.33333333333333331</v>
      </c>
      <c r="F308" s="7">
        <v>0.83333333333333337</v>
      </c>
      <c r="G308" s="7">
        <f t="shared" si="17"/>
        <v>0.33333333333333331</v>
      </c>
      <c r="H308" s="7">
        <f t="shared" si="18"/>
        <v>0.16666666666666669</v>
      </c>
      <c r="I308" t="str">
        <f>IFERROR(IF(INDEX('Attandance Tracker'!$D$3:$AH$50,MATCH($A308,'Attandance Tracker'!$A$3:$A$50,0),DAY($D308))="P","Present",IF(INDEX('Attandance Tracker'!$D$3:$AH$50,MATCH($A308,'Attandance Tracker'!$A$3:$A$50,0),DAY($D308))="A","Absent","Leave")),"")</f>
        <v>Present</v>
      </c>
    </row>
    <row r="309" spans="1:9" x14ac:dyDescent="0.25">
      <c r="A309">
        <v>1010</v>
      </c>
      <c r="B309" t="str">
        <f>_xlfn.IFNA(INDEX('Attandance Tracker'!$B$3:$B$30,MATCH($A309,'Attandance Tracker'!$A$3:$A$30,0)),"")</f>
        <v xml:space="preserve"> Sneha</v>
      </c>
      <c r="C309" s="14" t="str">
        <f>_xlfn.IFNA(INDEX('Attandance Tracker'!$C$3:$C$30,MATCH($A309,'Attandance Tracker'!$A$3:$A$30,0)),"")</f>
        <v>Finance</v>
      </c>
      <c r="D309" s="14">
        <v>27</v>
      </c>
      <c r="E309" s="7">
        <v>0.33333333333333331</v>
      </c>
      <c r="F309" s="7">
        <v>0.83333333333333337</v>
      </c>
      <c r="G309" s="7">
        <f t="shared" si="17"/>
        <v>0.33333333333333331</v>
      </c>
      <c r="H309" s="7">
        <f t="shared" si="18"/>
        <v>0.16666666666666669</v>
      </c>
      <c r="I309" t="str">
        <f>IFERROR(IF(INDEX('Attandance Tracker'!$D$3:$AH$50,MATCH($A309,'Attandance Tracker'!$A$3:$A$50,0),DAY($D309))="P","Present",IF(INDEX('Attandance Tracker'!$D$3:$AH$50,MATCH($A309,'Attandance Tracker'!$A$3:$A$50,0),DAY($D309))="A","Absent","Leave")),"")</f>
        <v>Present</v>
      </c>
    </row>
    <row r="310" spans="1:9" x14ac:dyDescent="0.25">
      <c r="A310">
        <v>1010</v>
      </c>
      <c r="B310" t="str">
        <f>_xlfn.IFNA(INDEX('Attandance Tracker'!$B$3:$B$30,MATCH($A310,'Attandance Tracker'!$A$3:$A$30,0)),"")</f>
        <v xml:space="preserve"> Sneha</v>
      </c>
      <c r="C310" s="14" t="str">
        <f>_xlfn.IFNA(INDEX('Attandance Tracker'!$C$3:$C$30,MATCH($A310,'Attandance Tracker'!$A$3:$A$30,0)),"")</f>
        <v>Finance</v>
      </c>
      <c r="D310" s="14">
        <v>28</v>
      </c>
      <c r="E310" s="7">
        <v>0.375</v>
      </c>
      <c r="F310" s="7">
        <v>0.79166666666666663</v>
      </c>
      <c r="G310" s="7">
        <f t="shared" si="17"/>
        <v>0.33333333333333331</v>
      </c>
      <c r="H310" s="7">
        <f t="shared" si="18"/>
        <v>8.3333333333333315E-2</v>
      </c>
      <c r="I310" t="str">
        <f>IFERROR(IF(INDEX('Attandance Tracker'!$D$3:$AH$50,MATCH($A310,'Attandance Tracker'!$A$3:$A$50,0),DAY($D310))="P","Present",IF(INDEX('Attandance Tracker'!$D$3:$AH$50,MATCH($A310,'Attandance Tracker'!$A$3:$A$50,0),DAY($D310))="A","Absent","Leave")),"")</f>
        <v>Present</v>
      </c>
    </row>
    <row r="311" spans="1:9" x14ac:dyDescent="0.25">
      <c r="A311">
        <v>1010</v>
      </c>
      <c r="B311" t="str">
        <f>_xlfn.IFNA(INDEX('Attandance Tracker'!$B$3:$B$30,MATCH($A311,'Attandance Tracker'!$A$3:$A$30,0)),"")</f>
        <v xml:space="preserve"> Sneha</v>
      </c>
      <c r="C311" s="14" t="str">
        <f>_xlfn.IFNA(INDEX('Attandance Tracker'!$C$3:$C$30,MATCH($A311,'Attandance Tracker'!$A$3:$A$30,0)),"")</f>
        <v>Finance</v>
      </c>
      <c r="D311" s="14">
        <v>29</v>
      </c>
      <c r="E311" s="7">
        <v>0.375</v>
      </c>
      <c r="F311" s="7">
        <v>0.83333333333333337</v>
      </c>
      <c r="G311" s="7">
        <f t="shared" si="17"/>
        <v>0.33333333333333331</v>
      </c>
      <c r="H311" s="7">
        <f t="shared" si="18"/>
        <v>0.12500000000000006</v>
      </c>
      <c r="I311" t="str">
        <f>IFERROR(IF(INDEX('Attandance Tracker'!$D$3:$AH$50,MATCH($A311,'Attandance Tracker'!$A$3:$A$50,0),DAY($D311))="P","Present",IF(INDEX('Attandance Tracker'!$D$3:$AH$50,MATCH($A311,'Attandance Tracker'!$A$3:$A$50,0),DAY($D311))="A","Absent","Leave")),"")</f>
        <v>Present</v>
      </c>
    </row>
    <row r="312" spans="1:9" x14ac:dyDescent="0.25">
      <c r="A312">
        <v>1010</v>
      </c>
      <c r="B312" t="str">
        <f>_xlfn.IFNA(INDEX('Attandance Tracker'!$B$3:$B$30,MATCH($A312,'Attandance Tracker'!$A$3:$A$30,0)),"")</f>
        <v xml:space="preserve"> Sneha</v>
      </c>
      <c r="C312" s="14" t="str">
        <f>_xlfn.IFNA(INDEX('Attandance Tracker'!$C$3:$C$30,MATCH($A312,'Attandance Tracker'!$A$3:$A$30,0)),"")</f>
        <v>Finance</v>
      </c>
      <c r="D312" s="14">
        <v>30</v>
      </c>
      <c r="E312" s="7">
        <v>0.375</v>
      </c>
      <c r="F312" s="7">
        <v>0.75</v>
      </c>
      <c r="G312" s="7">
        <f t="shared" si="17"/>
        <v>0.33333333333333331</v>
      </c>
      <c r="H312" s="7">
        <f t="shared" si="18"/>
        <v>4.1666666666666685E-2</v>
      </c>
      <c r="I312" t="str">
        <f>IFERROR(IF(INDEX('Attandance Tracker'!$D$3:$AH$50,MATCH($A312,'Attandance Tracker'!$A$3:$A$50,0),DAY($D312))="P","Present",IF(INDEX('Attandance Tracker'!$D$3:$AH$50,MATCH($A312,'Attandance Tracker'!$A$3:$A$50,0),DAY($D312))="A","Absent","Leave")),"")</f>
        <v>Present</v>
      </c>
    </row>
    <row r="313" spans="1:9" x14ac:dyDescent="0.25">
      <c r="A313">
        <v>1010</v>
      </c>
      <c r="B313" t="str">
        <f>_xlfn.IFNA(INDEX('Attandance Tracker'!$B$3:$B$30,MATCH($A313,'Attandance Tracker'!$A$3:$A$30,0)),"")</f>
        <v xml:space="preserve"> Sneha</v>
      </c>
      <c r="C313" s="14" t="str">
        <f>_xlfn.IFNA(INDEX('Attandance Tracker'!$C$3:$C$30,MATCH($A313,'Attandance Tracker'!$A$3:$A$30,0)),"")</f>
        <v>Finance</v>
      </c>
      <c r="D313" s="14">
        <v>31</v>
      </c>
      <c r="E313" s="7">
        <v>0.33333333333333331</v>
      </c>
      <c r="F313" s="7">
        <v>0.83333333333333337</v>
      </c>
      <c r="G313" s="7">
        <f t="shared" si="17"/>
        <v>0.33333333333333331</v>
      </c>
      <c r="H313" s="7">
        <f t="shared" si="18"/>
        <v>0.16666666666666669</v>
      </c>
      <c r="I313" t="str">
        <f>IFERROR(IF(INDEX('Attandance Tracker'!$D$3:$AH$50,MATCH($A313,'Attandance Tracker'!$A$3:$A$50,0),DAY($D313))="P","Present",IF(INDEX('Attandance Tracker'!$D$3:$AH$50,MATCH($A313,'Attandance Tracker'!$A$3:$A$50,0),DAY($D313))="A","Absent","Leave")),"")</f>
        <v>Present</v>
      </c>
    </row>
    <row r="314" spans="1:9" x14ac:dyDescent="0.25">
      <c r="A314">
        <v>1011</v>
      </c>
      <c r="B314" t="str">
        <f>_xlfn.IFNA(INDEX('Attandance Tracker'!$B$3:$B$30,MATCH($A314,'Attandance Tracker'!$A$3:$A$30,0)),"")</f>
        <v xml:space="preserve"> Karan</v>
      </c>
      <c r="C314" s="14" t="str">
        <f>_xlfn.IFNA(INDEX('Attandance Tracker'!$C$3:$C$30,MATCH($A314,'Attandance Tracker'!$A$3:$A$30,0)),"")</f>
        <v>Finance</v>
      </c>
      <c r="D314" s="14">
        <v>1</v>
      </c>
      <c r="E314" s="7">
        <v>0.375</v>
      </c>
      <c r="F314" s="7">
        <v>0.83333333333333337</v>
      </c>
      <c r="G314" s="7">
        <f t="shared" si="17"/>
        <v>0.33333333333333331</v>
      </c>
      <c r="H314" s="7">
        <f t="shared" si="18"/>
        <v>0.12500000000000006</v>
      </c>
      <c r="I314" t="str">
        <f>IFERROR(IF(INDEX('Attandance Tracker'!$D$3:$AH$50,MATCH($A314,'Attandance Tracker'!$A$3:$A$50,0),DAY($D314))="P","Present",IF(INDEX('Attandance Tracker'!$D$3:$AH$50,MATCH($A314,'Attandance Tracker'!$A$3:$A$50,0),DAY($D314))="A","Absent","Leave")),"")</f>
        <v>Present</v>
      </c>
    </row>
    <row r="315" spans="1:9" x14ac:dyDescent="0.25">
      <c r="A315">
        <v>1011</v>
      </c>
      <c r="B315" t="str">
        <f>_xlfn.IFNA(INDEX('Attandance Tracker'!$B$3:$B$30,MATCH($A315,'Attandance Tracker'!$A$3:$A$30,0)),"")</f>
        <v xml:space="preserve"> Karan</v>
      </c>
      <c r="C315" s="14" t="str">
        <f>_xlfn.IFNA(INDEX('Attandance Tracker'!$C$3:$C$30,MATCH($A315,'Attandance Tracker'!$A$3:$A$30,0)),"")</f>
        <v>Finance</v>
      </c>
      <c r="D315" s="14">
        <v>2</v>
      </c>
      <c r="E315" s="7">
        <v>0.375</v>
      </c>
      <c r="F315" s="7">
        <v>0.83333333333333337</v>
      </c>
      <c r="G315" s="7">
        <f t="shared" si="17"/>
        <v>0.33333333333333331</v>
      </c>
      <c r="H315" s="7">
        <f t="shared" si="18"/>
        <v>0.12500000000000006</v>
      </c>
      <c r="I315" t="str">
        <f>IFERROR(IF(INDEX('Attandance Tracker'!$D$3:$AH$50,MATCH($A315,'Attandance Tracker'!$A$3:$A$50,0),DAY($D315))="P","Present",IF(INDEX('Attandance Tracker'!$D$3:$AH$50,MATCH($A315,'Attandance Tracker'!$A$3:$A$50,0),DAY($D315))="A","Absent","Leave")),"")</f>
        <v>Present</v>
      </c>
    </row>
    <row r="316" spans="1:9" x14ac:dyDescent="0.25">
      <c r="A316">
        <v>1011</v>
      </c>
      <c r="B316" t="str">
        <f>_xlfn.IFNA(INDEX('Attandance Tracker'!$B$3:$B$30,MATCH($A316,'Attandance Tracker'!$A$3:$A$30,0)),"")</f>
        <v xml:space="preserve"> Karan</v>
      </c>
      <c r="C316" s="14" t="str">
        <f>_xlfn.IFNA(INDEX('Attandance Tracker'!$C$3:$C$30,MATCH($A316,'Attandance Tracker'!$A$3:$A$30,0)),"")</f>
        <v>Finance</v>
      </c>
      <c r="D316" s="14">
        <v>3</v>
      </c>
      <c r="E316" s="7">
        <v>0.375</v>
      </c>
      <c r="F316" s="7">
        <v>0.83333333333333337</v>
      </c>
      <c r="G316" s="7">
        <f t="shared" si="17"/>
        <v>0.33333333333333331</v>
      </c>
      <c r="H316" s="7">
        <f t="shared" si="18"/>
        <v>0.12500000000000006</v>
      </c>
      <c r="I316" t="str">
        <f>IFERROR(IF(INDEX('Attandance Tracker'!$D$3:$AH$50,MATCH($A316,'Attandance Tracker'!$A$3:$A$50,0),DAY($D316))="P","Present",IF(INDEX('Attandance Tracker'!$D$3:$AH$50,MATCH($A316,'Attandance Tracker'!$A$3:$A$50,0),DAY($D316))="A","Absent","Leave")),"")</f>
        <v>Present</v>
      </c>
    </row>
    <row r="317" spans="1:9" x14ac:dyDescent="0.25">
      <c r="A317">
        <v>1011</v>
      </c>
      <c r="B317" t="str">
        <f>_xlfn.IFNA(INDEX('Attandance Tracker'!$B$3:$B$30,MATCH($A317,'Attandance Tracker'!$A$3:$A$30,0)),"")</f>
        <v xml:space="preserve"> Karan</v>
      </c>
      <c r="C317" s="14" t="str">
        <f>_xlfn.IFNA(INDEX('Attandance Tracker'!$C$3:$C$30,MATCH($A317,'Attandance Tracker'!$A$3:$A$30,0)),"")</f>
        <v>Finance</v>
      </c>
      <c r="D317" s="14">
        <v>4</v>
      </c>
      <c r="E317" s="7">
        <v>0.33333333333333331</v>
      </c>
      <c r="F317" s="17">
        <v>0.75</v>
      </c>
      <c r="G317" s="7">
        <f t="shared" si="17"/>
        <v>0.33333333333333331</v>
      </c>
      <c r="H317" s="7">
        <f t="shared" si="18"/>
        <v>8.333333333333337E-2</v>
      </c>
      <c r="I317" t="str">
        <f>IFERROR(IF(INDEX('Attandance Tracker'!$D$3:$AH$50,MATCH($A317,'Attandance Tracker'!$A$3:$A$50,0),DAY($D317))="P","Present",IF(INDEX('Attandance Tracker'!$D$3:$AH$50,MATCH($A317,'Attandance Tracker'!$A$3:$A$50,0),DAY($D317))="A","Absent","Leave")),"")</f>
        <v>Present</v>
      </c>
    </row>
    <row r="318" spans="1:9" x14ac:dyDescent="0.25">
      <c r="A318">
        <v>1011</v>
      </c>
      <c r="B318" t="str">
        <f>_xlfn.IFNA(INDEX('Attandance Tracker'!$B$3:$B$30,MATCH($A318,'Attandance Tracker'!$A$3:$A$30,0)),"")</f>
        <v xml:space="preserve"> Karan</v>
      </c>
      <c r="C318" s="14" t="str">
        <f>_xlfn.IFNA(INDEX('Attandance Tracker'!$C$3:$C$30,MATCH($A318,'Attandance Tracker'!$A$3:$A$30,0)),"")</f>
        <v>Finance</v>
      </c>
      <c r="D318" s="14">
        <v>5</v>
      </c>
      <c r="E318" s="7">
        <v>0.33333333333333331</v>
      </c>
      <c r="F318" s="7">
        <v>0.83333333333333337</v>
      </c>
      <c r="G318" s="7">
        <f t="shared" si="17"/>
        <v>0.33333333333333331</v>
      </c>
      <c r="H318" s="7">
        <f t="shared" si="18"/>
        <v>0.16666666666666669</v>
      </c>
      <c r="I318" t="str">
        <f>IFERROR(IF(INDEX('Attandance Tracker'!$D$3:$AH$50,MATCH($A318,'Attandance Tracker'!$A$3:$A$50,0),DAY($D318))="P","Present",IF(INDEX('Attandance Tracker'!$D$3:$AH$50,MATCH($A318,'Attandance Tracker'!$A$3:$A$50,0),DAY($D318))="A","Absent","Leave")),"")</f>
        <v>Present</v>
      </c>
    </row>
    <row r="319" spans="1:9" x14ac:dyDescent="0.25">
      <c r="A319">
        <v>1011</v>
      </c>
      <c r="B319" t="str">
        <f>_xlfn.IFNA(INDEX('Attandance Tracker'!$B$3:$B$30,MATCH($A319,'Attandance Tracker'!$A$3:$A$30,0)),"")</f>
        <v xml:space="preserve"> Karan</v>
      </c>
      <c r="C319" s="14" t="str">
        <f>_xlfn.IFNA(INDEX('Attandance Tracker'!$C$3:$C$30,MATCH($A319,'Attandance Tracker'!$A$3:$A$30,0)),"")</f>
        <v>Finance</v>
      </c>
      <c r="D319" s="14">
        <v>6</v>
      </c>
      <c r="E319" s="7">
        <v>0.375</v>
      </c>
      <c r="F319" s="7">
        <v>0.79166666666666663</v>
      </c>
      <c r="G319" s="7">
        <f t="shared" si="17"/>
        <v>0.33333333333333331</v>
      </c>
      <c r="H319" s="7">
        <f t="shared" si="18"/>
        <v>8.3333333333333315E-2</v>
      </c>
      <c r="I319" t="str">
        <f>IFERROR(IF(INDEX('Attandance Tracker'!$D$3:$AH$50,MATCH($A319,'Attandance Tracker'!$A$3:$A$50,0),DAY($D319))="P","Present",IF(INDEX('Attandance Tracker'!$D$3:$AH$50,MATCH($A319,'Attandance Tracker'!$A$3:$A$50,0),DAY($D319))="A","Absent","Leave")),"")</f>
        <v>Present</v>
      </c>
    </row>
    <row r="320" spans="1:9" x14ac:dyDescent="0.25">
      <c r="A320">
        <v>1011</v>
      </c>
      <c r="B320" t="str">
        <f>_xlfn.IFNA(INDEX('Attandance Tracker'!$B$3:$B$30,MATCH($A320,'Attandance Tracker'!$A$3:$A$30,0)),"")</f>
        <v xml:space="preserve"> Karan</v>
      </c>
      <c r="C320" s="14" t="str">
        <f>_xlfn.IFNA(INDEX('Attandance Tracker'!$C$3:$C$30,MATCH($A320,'Attandance Tracker'!$A$3:$A$30,0)),"")</f>
        <v>Finance</v>
      </c>
      <c r="D320" s="14">
        <v>7</v>
      </c>
      <c r="E320" s="7">
        <v>0.375</v>
      </c>
      <c r="F320" s="7">
        <v>0.75</v>
      </c>
      <c r="G320" s="7">
        <f t="shared" si="17"/>
        <v>0.33333333333333331</v>
      </c>
      <c r="H320" s="7">
        <f t="shared" si="18"/>
        <v>4.1666666666666685E-2</v>
      </c>
      <c r="I320" t="str">
        <f>IFERROR(IF(INDEX('Attandance Tracker'!$D$3:$AH$50,MATCH($A320,'Attandance Tracker'!$A$3:$A$50,0),DAY($D320))="P","Present",IF(INDEX('Attandance Tracker'!$D$3:$AH$50,MATCH($A320,'Attandance Tracker'!$A$3:$A$50,0),DAY($D320))="A","Absent","Leave")),"")</f>
        <v>Present</v>
      </c>
    </row>
    <row r="321" spans="1:9" x14ac:dyDescent="0.25">
      <c r="A321">
        <v>1011</v>
      </c>
      <c r="B321" t="str">
        <f>_xlfn.IFNA(INDEX('Attandance Tracker'!$B$3:$B$30,MATCH($A321,'Attandance Tracker'!$A$3:$A$30,0)),"")</f>
        <v xml:space="preserve"> Karan</v>
      </c>
      <c r="C321" s="14" t="str">
        <f>_xlfn.IFNA(INDEX('Attandance Tracker'!$C$3:$C$30,MATCH($A321,'Attandance Tracker'!$A$3:$A$30,0)),"")</f>
        <v>Finance</v>
      </c>
      <c r="D321" s="14">
        <v>8</v>
      </c>
      <c r="E321" s="7">
        <v>0.375</v>
      </c>
      <c r="F321" s="7">
        <v>0.83333333333333337</v>
      </c>
      <c r="G321" s="7">
        <f t="shared" si="17"/>
        <v>0.33333333333333331</v>
      </c>
      <c r="H321" s="7">
        <f t="shared" si="18"/>
        <v>0.12500000000000006</v>
      </c>
      <c r="I321" t="str">
        <f>IFERROR(IF(INDEX('Attandance Tracker'!$D$3:$AH$50,MATCH($A321,'Attandance Tracker'!$A$3:$A$50,0),DAY($D321))="P","Present",IF(INDEX('Attandance Tracker'!$D$3:$AH$50,MATCH($A321,'Attandance Tracker'!$A$3:$A$50,0),DAY($D321))="A","Absent","Leave")),"")</f>
        <v>Present</v>
      </c>
    </row>
    <row r="322" spans="1:9" x14ac:dyDescent="0.25">
      <c r="A322">
        <v>1011</v>
      </c>
      <c r="B322" t="str">
        <f>_xlfn.IFNA(INDEX('Attandance Tracker'!$B$3:$B$30,MATCH($A322,'Attandance Tracker'!$A$3:$A$30,0)),"")</f>
        <v xml:space="preserve"> Karan</v>
      </c>
      <c r="C322" s="14" t="str">
        <f>_xlfn.IFNA(INDEX('Attandance Tracker'!$C$3:$C$30,MATCH($A322,'Attandance Tracker'!$A$3:$A$30,0)),"")</f>
        <v>Finance</v>
      </c>
      <c r="D322" s="14">
        <v>9</v>
      </c>
      <c r="E322" s="7">
        <v>0.33333333333333331</v>
      </c>
      <c r="F322" s="7">
        <v>0.83333333333333337</v>
      </c>
      <c r="G322" s="7">
        <f t="shared" si="17"/>
        <v>0.33333333333333331</v>
      </c>
      <c r="H322" s="7">
        <f t="shared" si="18"/>
        <v>0.16666666666666669</v>
      </c>
      <c r="I322" t="str">
        <f>IFERROR(IF(INDEX('Attandance Tracker'!$D$3:$AH$50,MATCH($A322,'Attandance Tracker'!$A$3:$A$50,0),DAY($D322))="P","Present",IF(INDEX('Attandance Tracker'!$D$3:$AH$50,MATCH($A322,'Attandance Tracker'!$A$3:$A$50,0),DAY($D322))="A","Absent","Leave")),"")</f>
        <v>Present</v>
      </c>
    </row>
    <row r="323" spans="1:9" x14ac:dyDescent="0.25">
      <c r="A323">
        <v>1011</v>
      </c>
      <c r="B323" t="str">
        <f>_xlfn.IFNA(INDEX('Attandance Tracker'!$B$3:$B$30,MATCH($A323,'Attandance Tracker'!$A$3:$A$30,0)),"")</f>
        <v xml:space="preserve"> Karan</v>
      </c>
      <c r="C323" s="14" t="str">
        <f>_xlfn.IFNA(INDEX('Attandance Tracker'!$C$3:$C$30,MATCH($A323,'Attandance Tracker'!$A$3:$A$30,0)),"")</f>
        <v>Finance</v>
      </c>
      <c r="D323" s="14">
        <v>10</v>
      </c>
      <c r="E323" s="7">
        <v>0.33333333333333331</v>
      </c>
      <c r="F323" s="7">
        <v>0.79166666666666663</v>
      </c>
      <c r="G323" s="7">
        <f t="shared" si="17"/>
        <v>0.33333333333333331</v>
      </c>
      <c r="H323" s="7">
        <f t="shared" si="18"/>
        <v>0.125</v>
      </c>
      <c r="I323" t="str">
        <f>IFERROR(IF(INDEX('Attandance Tracker'!$D$3:$AH$50,MATCH($A323,'Attandance Tracker'!$A$3:$A$50,0),DAY($D323))="P","Present",IF(INDEX('Attandance Tracker'!$D$3:$AH$50,MATCH($A323,'Attandance Tracker'!$A$3:$A$50,0),DAY($D323))="A","Absent","Leave")),"")</f>
        <v>Present</v>
      </c>
    </row>
    <row r="324" spans="1:9" x14ac:dyDescent="0.25">
      <c r="A324">
        <v>1011</v>
      </c>
      <c r="B324" t="str">
        <f>_xlfn.IFNA(INDEX('Attandance Tracker'!$B$3:$B$30,MATCH($A324,'Attandance Tracker'!$A$3:$A$30,0)),"")</f>
        <v xml:space="preserve"> Karan</v>
      </c>
      <c r="C324" s="14" t="str">
        <f>_xlfn.IFNA(INDEX('Attandance Tracker'!$C$3:$C$30,MATCH($A324,'Attandance Tracker'!$A$3:$A$30,0)),"")</f>
        <v>Finance</v>
      </c>
      <c r="D324" s="14">
        <v>11</v>
      </c>
      <c r="E324" s="7">
        <v>0.33333333333333331</v>
      </c>
      <c r="F324" s="7">
        <v>0.83333333333333337</v>
      </c>
      <c r="G324" s="7">
        <f t="shared" si="17"/>
        <v>0.33333333333333331</v>
      </c>
      <c r="H324" s="7">
        <f t="shared" si="18"/>
        <v>0.16666666666666669</v>
      </c>
      <c r="I324" t="str">
        <f>IFERROR(IF(INDEX('Attandance Tracker'!$D$3:$AH$50,MATCH($A324,'Attandance Tracker'!$A$3:$A$50,0),DAY($D324))="P","Present",IF(INDEX('Attandance Tracker'!$D$3:$AH$50,MATCH($A324,'Attandance Tracker'!$A$3:$A$50,0),DAY($D324))="A","Absent","Leave")),"")</f>
        <v>Present</v>
      </c>
    </row>
    <row r="325" spans="1:9" x14ac:dyDescent="0.25">
      <c r="A325">
        <v>1011</v>
      </c>
      <c r="B325" t="str">
        <f>_xlfn.IFNA(INDEX('Attandance Tracker'!$B$3:$B$30,MATCH($A325,'Attandance Tracker'!$A$3:$A$30,0)),"")</f>
        <v xml:space="preserve"> Karan</v>
      </c>
      <c r="C325" s="14" t="str">
        <f>_xlfn.IFNA(INDEX('Attandance Tracker'!$C$3:$C$30,MATCH($A325,'Attandance Tracker'!$A$3:$A$30,0)),"")</f>
        <v>Finance</v>
      </c>
      <c r="D325" s="14">
        <v>12</v>
      </c>
      <c r="E325" s="7">
        <v>0.33333333333333331</v>
      </c>
      <c r="F325" s="7">
        <v>0.83333333333333337</v>
      </c>
      <c r="G325" s="7">
        <f t="shared" ref="G325:G388" si="19">IF(I325="Present",MIN(F325-E325,8/24),IF(I325="Absent",8/24,0))</f>
        <v>0.33333333333333331</v>
      </c>
      <c r="H325" s="7">
        <f t="shared" ref="H325:H388" si="20">IF(I325="Present",MAX(0,F325-E325-8/24),0)</f>
        <v>0.16666666666666669</v>
      </c>
      <c r="I325" t="str">
        <f>IFERROR(IF(INDEX('Attandance Tracker'!$D$3:$AH$50,MATCH($A325,'Attandance Tracker'!$A$3:$A$50,0),DAY($D325))="P","Present",IF(INDEX('Attandance Tracker'!$D$3:$AH$50,MATCH($A325,'Attandance Tracker'!$A$3:$A$50,0),DAY($D325))="A","Absent","Leave")),"")</f>
        <v>Present</v>
      </c>
    </row>
    <row r="326" spans="1:9" x14ac:dyDescent="0.25">
      <c r="A326">
        <v>1011</v>
      </c>
      <c r="B326" t="str">
        <f>_xlfn.IFNA(INDEX('Attandance Tracker'!$B$3:$B$30,MATCH($A326,'Attandance Tracker'!$A$3:$A$30,0)),"")</f>
        <v xml:space="preserve"> Karan</v>
      </c>
      <c r="C326" s="14" t="str">
        <f>_xlfn.IFNA(INDEX('Attandance Tracker'!$C$3:$C$30,MATCH($A326,'Attandance Tracker'!$A$3:$A$30,0)),"")</f>
        <v>Finance</v>
      </c>
      <c r="D326" s="14">
        <v>13</v>
      </c>
      <c r="E326" s="7">
        <v>0.33333333333333331</v>
      </c>
      <c r="F326" s="7">
        <v>0.79166666666666663</v>
      </c>
      <c r="G326" s="7">
        <f t="shared" si="19"/>
        <v>0.33333333333333331</v>
      </c>
      <c r="H326" s="7">
        <f t="shared" si="20"/>
        <v>0.125</v>
      </c>
      <c r="I326" t="str">
        <f>IFERROR(IF(INDEX('Attandance Tracker'!$D$3:$AH$50,MATCH($A326,'Attandance Tracker'!$A$3:$A$50,0),DAY($D326))="P","Present",IF(INDEX('Attandance Tracker'!$D$3:$AH$50,MATCH($A326,'Attandance Tracker'!$A$3:$A$50,0),DAY($D326))="A","Absent","Leave")),"")</f>
        <v>Present</v>
      </c>
    </row>
    <row r="327" spans="1:9" x14ac:dyDescent="0.25">
      <c r="A327">
        <v>1011</v>
      </c>
      <c r="B327" t="str">
        <f>_xlfn.IFNA(INDEX('Attandance Tracker'!$B$3:$B$30,MATCH($A327,'Attandance Tracker'!$A$3:$A$30,0)),"")</f>
        <v xml:space="preserve"> Karan</v>
      </c>
      <c r="C327" s="14" t="str">
        <f>_xlfn.IFNA(INDEX('Attandance Tracker'!$C$3:$C$30,MATCH($A327,'Attandance Tracker'!$A$3:$A$30,0)),"")</f>
        <v>Finance</v>
      </c>
      <c r="D327" s="14">
        <v>14</v>
      </c>
      <c r="E327" s="7">
        <v>0.33333333333333331</v>
      </c>
      <c r="F327" s="7">
        <v>0.83333333333333337</v>
      </c>
      <c r="G327" s="7">
        <f t="shared" si="19"/>
        <v>0.33333333333333331</v>
      </c>
      <c r="H327" s="7">
        <f t="shared" si="20"/>
        <v>0.16666666666666669</v>
      </c>
      <c r="I327" t="str">
        <f>IFERROR(IF(INDEX('Attandance Tracker'!$D$3:$AH$50,MATCH($A327,'Attandance Tracker'!$A$3:$A$50,0),DAY($D327))="P","Present",IF(INDEX('Attandance Tracker'!$D$3:$AH$50,MATCH($A327,'Attandance Tracker'!$A$3:$A$50,0),DAY($D327))="A","Absent","Leave")),"")</f>
        <v>Present</v>
      </c>
    </row>
    <row r="328" spans="1:9" x14ac:dyDescent="0.25">
      <c r="A328">
        <v>1011</v>
      </c>
      <c r="B328" t="str">
        <f>_xlfn.IFNA(INDEX('Attandance Tracker'!$B$3:$B$30,MATCH($A328,'Attandance Tracker'!$A$3:$A$30,0)),"")</f>
        <v xml:space="preserve"> Karan</v>
      </c>
      <c r="C328" s="14" t="str">
        <f>_xlfn.IFNA(INDEX('Attandance Tracker'!$C$3:$C$30,MATCH($A328,'Attandance Tracker'!$A$3:$A$30,0)),"")</f>
        <v>Finance</v>
      </c>
      <c r="D328" s="14">
        <v>15</v>
      </c>
      <c r="E328" s="7">
        <v>0.33333333333333331</v>
      </c>
      <c r="F328" s="7">
        <v>0.75</v>
      </c>
      <c r="G328" s="7">
        <f t="shared" si="19"/>
        <v>0.33333333333333331</v>
      </c>
      <c r="H328" s="7">
        <f t="shared" si="20"/>
        <v>8.333333333333337E-2</v>
      </c>
      <c r="I328" t="str">
        <f>IFERROR(IF(INDEX('Attandance Tracker'!$D$3:$AH$50,MATCH($A328,'Attandance Tracker'!$A$3:$A$50,0),DAY($D328))="P","Present",IF(INDEX('Attandance Tracker'!$D$3:$AH$50,MATCH($A328,'Attandance Tracker'!$A$3:$A$50,0),DAY($D328))="A","Absent","Leave")),"")</f>
        <v>Present</v>
      </c>
    </row>
    <row r="329" spans="1:9" x14ac:dyDescent="0.25">
      <c r="A329">
        <v>1011</v>
      </c>
      <c r="B329" t="str">
        <f>_xlfn.IFNA(INDEX('Attandance Tracker'!$B$3:$B$30,MATCH($A329,'Attandance Tracker'!$A$3:$A$30,0)),"")</f>
        <v xml:space="preserve"> Karan</v>
      </c>
      <c r="C329" s="14" t="str">
        <f>_xlfn.IFNA(INDEX('Attandance Tracker'!$C$3:$C$30,MATCH($A329,'Attandance Tracker'!$A$3:$A$30,0)),"")</f>
        <v>Finance</v>
      </c>
      <c r="D329" s="14">
        <v>16</v>
      </c>
      <c r="E329" s="7">
        <v>0.375</v>
      </c>
      <c r="F329" s="7">
        <v>0.83333333333333337</v>
      </c>
      <c r="G329" s="7">
        <f t="shared" si="19"/>
        <v>0.33333333333333331</v>
      </c>
      <c r="H329" s="7">
        <f t="shared" si="20"/>
        <v>0.12500000000000006</v>
      </c>
      <c r="I329" t="str">
        <f>IFERROR(IF(INDEX('Attandance Tracker'!$D$3:$AH$50,MATCH($A329,'Attandance Tracker'!$A$3:$A$50,0),DAY($D329))="P","Present",IF(INDEX('Attandance Tracker'!$D$3:$AH$50,MATCH($A329,'Attandance Tracker'!$A$3:$A$50,0),DAY($D329))="A","Absent","Leave")),"")</f>
        <v>Present</v>
      </c>
    </row>
    <row r="330" spans="1:9" x14ac:dyDescent="0.25">
      <c r="A330">
        <v>1011</v>
      </c>
      <c r="B330" t="str">
        <f>_xlfn.IFNA(INDEX('Attandance Tracker'!$B$3:$B$30,MATCH($A330,'Attandance Tracker'!$A$3:$A$30,0)),"")</f>
        <v xml:space="preserve"> Karan</v>
      </c>
      <c r="C330" s="14" t="str">
        <f>_xlfn.IFNA(INDEX('Attandance Tracker'!$C$3:$C$30,MATCH($A330,'Attandance Tracker'!$A$3:$A$30,0)),"")</f>
        <v>Finance</v>
      </c>
      <c r="D330" s="14">
        <v>17</v>
      </c>
      <c r="E330" s="7">
        <v>0.375</v>
      </c>
      <c r="F330" s="7">
        <v>0.83333333333333337</v>
      </c>
      <c r="G330" s="7">
        <f t="shared" si="19"/>
        <v>0.33333333333333331</v>
      </c>
      <c r="H330" s="7">
        <f t="shared" si="20"/>
        <v>0.12500000000000006</v>
      </c>
      <c r="I330" t="str">
        <f>IFERROR(IF(INDEX('Attandance Tracker'!$D$3:$AH$50,MATCH($A330,'Attandance Tracker'!$A$3:$A$50,0),DAY($D330))="P","Present",IF(INDEX('Attandance Tracker'!$D$3:$AH$50,MATCH($A330,'Attandance Tracker'!$A$3:$A$50,0),DAY($D330))="A","Absent","Leave")),"")</f>
        <v>Present</v>
      </c>
    </row>
    <row r="331" spans="1:9" x14ac:dyDescent="0.25">
      <c r="A331">
        <v>1011</v>
      </c>
      <c r="B331" t="str">
        <f>_xlfn.IFNA(INDEX('Attandance Tracker'!$B$3:$B$30,MATCH($A331,'Attandance Tracker'!$A$3:$A$30,0)),"")</f>
        <v xml:space="preserve"> Karan</v>
      </c>
      <c r="C331" s="14" t="str">
        <f>_xlfn.IFNA(INDEX('Attandance Tracker'!$C$3:$C$30,MATCH($A331,'Attandance Tracker'!$A$3:$A$30,0)),"")</f>
        <v>Finance</v>
      </c>
      <c r="D331" s="14">
        <v>18</v>
      </c>
      <c r="E331" s="7">
        <v>0.375</v>
      </c>
      <c r="F331" s="7">
        <v>0.83333333333333337</v>
      </c>
      <c r="G331" s="7">
        <f t="shared" si="19"/>
        <v>0.33333333333333331</v>
      </c>
      <c r="H331" s="7">
        <f t="shared" si="20"/>
        <v>0.12500000000000006</v>
      </c>
      <c r="I331" t="str">
        <f>IFERROR(IF(INDEX('Attandance Tracker'!$D$3:$AH$50,MATCH($A331,'Attandance Tracker'!$A$3:$A$50,0),DAY($D331))="P","Present",IF(INDEX('Attandance Tracker'!$D$3:$AH$50,MATCH($A331,'Attandance Tracker'!$A$3:$A$50,0),DAY($D331))="A","Absent","Leave")),"")</f>
        <v>Present</v>
      </c>
    </row>
    <row r="332" spans="1:9" x14ac:dyDescent="0.25">
      <c r="A332">
        <v>1011</v>
      </c>
      <c r="B332" t="str">
        <f>_xlfn.IFNA(INDEX('Attandance Tracker'!$B$3:$B$30,MATCH($A332,'Attandance Tracker'!$A$3:$A$30,0)),"")</f>
        <v xml:space="preserve"> Karan</v>
      </c>
      <c r="C332" s="14" t="str">
        <f>_xlfn.IFNA(INDEX('Attandance Tracker'!$C$3:$C$30,MATCH($A332,'Attandance Tracker'!$A$3:$A$30,0)),"")</f>
        <v>Finance</v>
      </c>
      <c r="D332" s="14">
        <v>19</v>
      </c>
      <c r="E332" s="7">
        <v>0.33333333333333331</v>
      </c>
      <c r="F332" s="7">
        <v>0.83333333333333337</v>
      </c>
      <c r="G332" s="7">
        <f t="shared" si="19"/>
        <v>0.33333333333333331</v>
      </c>
      <c r="H332" s="7">
        <f t="shared" si="20"/>
        <v>0.16666666666666669</v>
      </c>
      <c r="I332" t="str">
        <f>IFERROR(IF(INDEX('Attandance Tracker'!$D$3:$AH$50,MATCH($A332,'Attandance Tracker'!$A$3:$A$50,0),DAY($D332))="P","Present",IF(INDEX('Attandance Tracker'!$D$3:$AH$50,MATCH($A332,'Attandance Tracker'!$A$3:$A$50,0),DAY($D332))="A","Absent","Leave")),"")</f>
        <v>Present</v>
      </c>
    </row>
    <row r="333" spans="1:9" x14ac:dyDescent="0.25">
      <c r="A333">
        <v>1011</v>
      </c>
      <c r="B333" t="str">
        <f>_xlfn.IFNA(INDEX('Attandance Tracker'!$B$3:$B$30,MATCH($A333,'Attandance Tracker'!$A$3:$A$30,0)),"")</f>
        <v xml:space="preserve"> Karan</v>
      </c>
      <c r="C333" s="14" t="str">
        <f>_xlfn.IFNA(INDEX('Attandance Tracker'!$C$3:$C$30,MATCH($A333,'Attandance Tracker'!$A$3:$A$30,0)),"")</f>
        <v>Finance</v>
      </c>
      <c r="D333" s="14">
        <v>20</v>
      </c>
      <c r="E333" s="7">
        <v>0.375</v>
      </c>
      <c r="F333" s="17">
        <v>0.75</v>
      </c>
      <c r="G333" s="7">
        <f t="shared" si="19"/>
        <v>0.33333333333333331</v>
      </c>
      <c r="H333" s="7">
        <f t="shared" si="20"/>
        <v>4.1666666666666685E-2</v>
      </c>
      <c r="I333" t="str">
        <f>IFERROR(IF(INDEX('Attandance Tracker'!$D$3:$AH$50,MATCH($A333,'Attandance Tracker'!$A$3:$A$50,0),DAY($D333))="P","Present",IF(INDEX('Attandance Tracker'!$D$3:$AH$50,MATCH($A333,'Attandance Tracker'!$A$3:$A$50,0),DAY($D333))="A","Absent","Leave")),"")</f>
        <v>Present</v>
      </c>
    </row>
    <row r="334" spans="1:9" x14ac:dyDescent="0.25">
      <c r="A334">
        <v>1011</v>
      </c>
      <c r="B334" t="str">
        <f>_xlfn.IFNA(INDEX('Attandance Tracker'!$B$3:$B$30,MATCH($A334,'Attandance Tracker'!$A$3:$A$30,0)),"")</f>
        <v xml:space="preserve"> Karan</v>
      </c>
      <c r="C334" s="14" t="str">
        <f>_xlfn.IFNA(INDEX('Attandance Tracker'!$C$3:$C$30,MATCH($A334,'Attandance Tracker'!$A$3:$A$30,0)),"")</f>
        <v>Finance</v>
      </c>
      <c r="D334" s="14">
        <v>21</v>
      </c>
      <c r="E334" s="7">
        <v>0.33333333333333331</v>
      </c>
      <c r="F334" s="7">
        <v>0.83333333333333337</v>
      </c>
      <c r="G334" s="7">
        <f t="shared" si="19"/>
        <v>0.33333333333333331</v>
      </c>
      <c r="H334" s="7">
        <f t="shared" si="20"/>
        <v>0.16666666666666669</v>
      </c>
      <c r="I334" t="str">
        <f>IFERROR(IF(INDEX('Attandance Tracker'!$D$3:$AH$50,MATCH($A334,'Attandance Tracker'!$A$3:$A$50,0),DAY($D334))="P","Present",IF(INDEX('Attandance Tracker'!$D$3:$AH$50,MATCH($A334,'Attandance Tracker'!$A$3:$A$50,0),DAY($D334))="A","Absent","Leave")),"")</f>
        <v>Present</v>
      </c>
    </row>
    <row r="335" spans="1:9" x14ac:dyDescent="0.25">
      <c r="A335">
        <v>1011</v>
      </c>
      <c r="B335" t="str">
        <f>_xlfn.IFNA(INDEX('Attandance Tracker'!$B$3:$B$30,MATCH($A335,'Attandance Tracker'!$A$3:$A$30,0)),"")</f>
        <v xml:space="preserve"> Karan</v>
      </c>
      <c r="C335" s="14" t="str">
        <f>_xlfn.IFNA(INDEX('Attandance Tracker'!$C$3:$C$30,MATCH($A335,'Attandance Tracker'!$A$3:$A$30,0)),"")</f>
        <v>Finance</v>
      </c>
      <c r="D335" s="14">
        <v>22</v>
      </c>
      <c r="E335" s="7">
        <v>0.33333333333333331</v>
      </c>
      <c r="F335" s="7">
        <v>0.79166666666666663</v>
      </c>
      <c r="G335" s="7">
        <f t="shared" si="19"/>
        <v>0.33333333333333331</v>
      </c>
      <c r="H335" s="7">
        <f t="shared" si="20"/>
        <v>0.125</v>
      </c>
      <c r="I335" t="str">
        <f>IFERROR(IF(INDEX('Attandance Tracker'!$D$3:$AH$50,MATCH($A335,'Attandance Tracker'!$A$3:$A$50,0),DAY($D335))="P","Present",IF(INDEX('Attandance Tracker'!$D$3:$AH$50,MATCH($A335,'Attandance Tracker'!$A$3:$A$50,0),DAY($D335))="A","Absent","Leave")),"")</f>
        <v>Present</v>
      </c>
    </row>
    <row r="336" spans="1:9" x14ac:dyDescent="0.25">
      <c r="A336">
        <v>1011</v>
      </c>
      <c r="B336" t="str">
        <f>_xlfn.IFNA(INDEX('Attandance Tracker'!$B$3:$B$30,MATCH($A336,'Attandance Tracker'!$A$3:$A$30,0)),"")</f>
        <v xml:space="preserve"> Karan</v>
      </c>
      <c r="C336" s="14" t="str">
        <f>_xlfn.IFNA(INDEX('Attandance Tracker'!$C$3:$C$30,MATCH($A336,'Attandance Tracker'!$A$3:$A$30,0)),"")</f>
        <v>Finance</v>
      </c>
      <c r="D336" s="14">
        <v>23</v>
      </c>
      <c r="E336" s="7">
        <v>0.375</v>
      </c>
      <c r="F336" s="7">
        <v>0.75</v>
      </c>
      <c r="G336" s="7">
        <f t="shared" si="19"/>
        <v>0.33333333333333331</v>
      </c>
      <c r="H336" s="7">
        <f t="shared" si="20"/>
        <v>4.1666666666666685E-2</v>
      </c>
      <c r="I336" t="str">
        <f>IFERROR(IF(INDEX('Attandance Tracker'!$D$3:$AH$50,MATCH($A336,'Attandance Tracker'!$A$3:$A$50,0),DAY($D336))="P","Present",IF(INDEX('Attandance Tracker'!$D$3:$AH$50,MATCH($A336,'Attandance Tracker'!$A$3:$A$50,0),DAY($D336))="A","Absent","Leave")),"")</f>
        <v>Present</v>
      </c>
    </row>
    <row r="337" spans="1:9" x14ac:dyDescent="0.25">
      <c r="A337">
        <v>1011</v>
      </c>
      <c r="B337" t="str">
        <f>_xlfn.IFNA(INDEX('Attandance Tracker'!$B$3:$B$30,MATCH($A337,'Attandance Tracker'!$A$3:$A$30,0)),"")</f>
        <v xml:space="preserve"> Karan</v>
      </c>
      <c r="C337" s="14" t="str">
        <f>_xlfn.IFNA(INDEX('Attandance Tracker'!$C$3:$C$30,MATCH($A337,'Attandance Tracker'!$A$3:$A$30,0)),"")</f>
        <v>Finance</v>
      </c>
      <c r="D337" s="14">
        <v>24</v>
      </c>
      <c r="E337" s="7">
        <v>0.375</v>
      </c>
      <c r="F337" s="7">
        <v>0.83333333333333337</v>
      </c>
      <c r="G337" s="7">
        <f t="shared" si="19"/>
        <v>0.33333333333333331</v>
      </c>
      <c r="H337" s="7">
        <f t="shared" si="20"/>
        <v>0.12500000000000006</v>
      </c>
      <c r="I337" t="str">
        <f>IFERROR(IF(INDEX('Attandance Tracker'!$D$3:$AH$50,MATCH($A337,'Attandance Tracker'!$A$3:$A$50,0),DAY($D337))="P","Present",IF(INDEX('Attandance Tracker'!$D$3:$AH$50,MATCH($A337,'Attandance Tracker'!$A$3:$A$50,0),DAY($D337))="A","Absent","Leave")),"")</f>
        <v>Present</v>
      </c>
    </row>
    <row r="338" spans="1:9" x14ac:dyDescent="0.25">
      <c r="A338">
        <v>1011</v>
      </c>
      <c r="B338" t="str">
        <f>_xlfn.IFNA(INDEX('Attandance Tracker'!$B$3:$B$30,MATCH($A338,'Attandance Tracker'!$A$3:$A$30,0)),"")</f>
        <v xml:space="preserve"> Karan</v>
      </c>
      <c r="C338" s="14" t="str">
        <f>_xlfn.IFNA(INDEX('Attandance Tracker'!$C$3:$C$30,MATCH($A338,'Attandance Tracker'!$A$3:$A$30,0)),"")</f>
        <v>Finance</v>
      </c>
      <c r="D338" s="14">
        <v>25</v>
      </c>
      <c r="E338" s="7">
        <v>0.375</v>
      </c>
      <c r="F338" s="7">
        <v>0.83333333333333337</v>
      </c>
      <c r="G338" s="7">
        <f t="shared" si="19"/>
        <v>0.33333333333333331</v>
      </c>
      <c r="H338" s="7">
        <f t="shared" si="20"/>
        <v>0.12500000000000006</v>
      </c>
      <c r="I338" t="str">
        <f>IFERROR(IF(INDEX('Attandance Tracker'!$D$3:$AH$50,MATCH($A338,'Attandance Tracker'!$A$3:$A$50,0),DAY($D338))="P","Present",IF(INDEX('Attandance Tracker'!$D$3:$AH$50,MATCH($A338,'Attandance Tracker'!$A$3:$A$50,0),DAY($D338))="A","Absent","Leave")),"")</f>
        <v>Present</v>
      </c>
    </row>
    <row r="339" spans="1:9" x14ac:dyDescent="0.25">
      <c r="A339">
        <v>1011</v>
      </c>
      <c r="B339" t="str">
        <f>_xlfn.IFNA(INDEX('Attandance Tracker'!$B$3:$B$30,MATCH($A339,'Attandance Tracker'!$A$3:$A$30,0)),"")</f>
        <v xml:space="preserve"> Karan</v>
      </c>
      <c r="C339" s="14" t="str">
        <f>_xlfn.IFNA(INDEX('Attandance Tracker'!$C$3:$C$30,MATCH($A339,'Attandance Tracker'!$A$3:$A$30,0)),"")</f>
        <v>Finance</v>
      </c>
      <c r="D339" s="14">
        <v>26</v>
      </c>
      <c r="E339" s="7">
        <v>0.33333333333333331</v>
      </c>
      <c r="F339" s="7">
        <v>0.79166666666666663</v>
      </c>
      <c r="G339" s="7">
        <f t="shared" si="19"/>
        <v>0.33333333333333331</v>
      </c>
      <c r="H339" s="7">
        <f t="shared" si="20"/>
        <v>0.125</v>
      </c>
      <c r="I339" t="str">
        <f>IFERROR(IF(INDEX('Attandance Tracker'!$D$3:$AH$50,MATCH($A339,'Attandance Tracker'!$A$3:$A$50,0),DAY($D339))="P","Present",IF(INDEX('Attandance Tracker'!$D$3:$AH$50,MATCH($A339,'Attandance Tracker'!$A$3:$A$50,0),DAY($D339))="A","Absent","Leave")),"")</f>
        <v>Present</v>
      </c>
    </row>
    <row r="340" spans="1:9" x14ac:dyDescent="0.25">
      <c r="A340">
        <v>1011</v>
      </c>
      <c r="B340" t="str">
        <f>_xlfn.IFNA(INDEX('Attandance Tracker'!$B$3:$B$30,MATCH($A340,'Attandance Tracker'!$A$3:$A$30,0)),"")</f>
        <v xml:space="preserve"> Karan</v>
      </c>
      <c r="C340" s="14" t="str">
        <f>_xlfn.IFNA(INDEX('Attandance Tracker'!$C$3:$C$30,MATCH($A340,'Attandance Tracker'!$A$3:$A$30,0)),"")</f>
        <v>Finance</v>
      </c>
      <c r="D340" s="14">
        <v>27</v>
      </c>
      <c r="E340" s="7">
        <v>0.33333333333333331</v>
      </c>
      <c r="F340" s="7">
        <v>0.83333333333333337</v>
      </c>
      <c r="G340" s="7">
        <f t="shared" si="19"/>
        <v>0.33333333333333331</v>
      </c>
      <c r="H340" s="7">
        <f t="shared" si="20"/>
        <v>0.16666666666666669</v>
      </c>
      <c r="I340" t="str">
        <f>IFERROR(IF(INDEX('Attandance Tracker'!$D$3:$AH$50,MATCH($A340,'Attandance Tracker'!$A$3:$A$50,0),DAY($D340))="P","Present",IF(INDEX('Attandance Tracker'!$D$3:$AH$50,MATCH($A340,'Attandance Tracker'!$A$3:$A$50,0),DAY($D340))="A","Absent","Leave")),"")</f>
        <v>Present</v>
      </c>
    </row>
    <row r="341" spans="1:9" x14ac:dyDescent="0.25">
      <c r="A341">
        <v>1011</v>
      </c>
      <c r="B341" t="str">
        <f>_xlfn.IFNA(INDEX('Attandance Tracker'!$B$3:$B$30,MATCH($A341,'Attandance Tracker'!$A$3:$A$30,0)),"")</f>
        <v xml:space="preserve"> Karan</v>
      </c>
      <c r="C341" s="14" t="str">
        <f>_xlfn.IFNA(INDEX('Attandance Tracker'!$C$3:$C$30,MATCH($A341,'Attandance Tracker'!$A$3:$A$30,0)),"")</f>
        <v>Finance</v>
      </c>
      <c r="D341" s="14">
        <v>28</v>
      </c>
      <c r="E341" s="7">
        <v>0.33333333333333331</v>
      </c>
      <c r="F341" s="7">
        <v>0.83333333333333337</v>
      </c>
      <c r="G341" s="7">
        <f t="shared" si="19"/>
        <v>0.33333333333333331</v>
      </c>
      <c r="H341" s="7">
        <f t="shared" si="20"/>
        <v>0.16666666666666669</v>
      </c>
      <c r="I341" t="str">
        <f>IFERROR(IF(INDEX('Attandance Tracker'!$D$3:$AH$50,MATCH($A341,'Attandance Tracker'!$A$3:$A$50,0),DAY($D341))="P","Present",IF(INDEX('Attandance Tracker'!$D$3:$AH$50,MATCH($A341,'Attandance Tracker'!$A$3:$A$50,0),DAY($D341))="A","Absent","Leave")),"")</f>
        <v>Present</v>
      </c>
    </row>
    <row r="342" spans="1:9" x14ac:dyDescent="0.25">
      <c r="A342">
        <v>1011</v>
      </c>
      <c r="B342" t="str">
        <f>_xlfn.IFNA(INDEX('Attandance Tracker'!$B$3:$B$30,MATCH($A342,'Attandance Tracker'!$A$3:$A$30,0)),"")</f>
        <v xml:space="preserve"> Karan</v>
      </c>
      <c r="C342" s="14" t="str">
        <f>_xlfn.IFNA(INDEX('Attandance Tracker'!$C$3:$C$30,MATCH($A342,'Attandance Tracker'!$A$3:$A$30,0)),"")</f>
        <v>Finance</v>
      </c>
      <c r="D342" s="14">
        <v>29</v>
      </c>
      <c r="E342" s="7">
        <v>0.33333333333333331</v>
      </c>
      <c r="F342" s="7">
        <v>0.79166666666666663</v>
      </c>
      <c r="G342" s="7">
        <f t="shared" si="19"/>
        <v>0.33333333333333331</v>
      </c>
      <c r="H342" s="7">
        <f t="shared" si="20"/>
        <v>0.125</v>
      </c>
      <c r="I342" t="str">
        <f>IFERROR(IF(INDEX('Attandance Tracker'!$D$3:$AH$50,MATCH($A342,'Attandance Tracker'!$A$3:$A$50,0),DAY($D342))="P","Present",IF(INDEX('Attandance Tracker'!$D$3:$AH$50,MATCH($A342,'Attandance Tracker'!$A$3:$A$50,0),DAY($D342))="A","Absent","Leave")),"")</f>
        <v>Present</v>
      </c>
    </row>
    <row r="343" spans="1:9" x14ac:dyDescent="0.25">
      <c r="A343">
        <v>1011</v>
      </c>
      <c r="B343" t="str">
        <f>_xlfn.IFNA(INDEX('Attandance Tracker'!$B$3:$B$30,MATCH($A343,'Attandance Tracker'!$A$3:$A$30,0)),"")</f>
        <v xml:space="preserve"> Karan</v>
      </c>
      <c r="C343" s="14" t="str">
        <f>_xlfn.IFNA(INDEX('Attandance Tracker'!$C$3:$C$30,MATCH($A343,'Attandance Tracker'!$A$3:$A$30,0)),"")</f>
        <v>Finance</v>
      </c>
      <c r="D343" s="14">
        <v>30</v>
      </c>
      <c r="E343" s="7">
        <v>0.33333333333333331</v>
      </c>
      <c r="F343" s="7">
        <v>0.83333333333333337</v>
      </c>
      <c r="G343" s="7">
        <f t="shared" si="19"/>
        <v>0.33333333333333331</v>
      </c>
      <c r="H343" s="7">
        <f t="shared" si="20"/>
        <v>0.16666666666666669</v>
      </c>
      <c r="I343" t="str">
        <f>IFERROR(IF(INDEX('Attandance Tracker'!$D$3:$AH$50,MATCH($A343,'Attandance Tracker'!$A$3:$A$50,0),DAY($D343))="P","Present",IF(INDEX('Attandance Tracker'!$D$3:$AH$50,MATCH($A343,'Attandance Tracker'!$A$3:$A$50,0),DAY($D343))="A","Absent","Leave")),"")</f>
        <v>Present</v>
      </c>
    </row>
    <row r="344" spans="1:9" x14ac:dyDescent="0.25">
      <c r="A344">
        <v>1011</v>
      </c>
      <c r="B344" t="str">
        <f>_xlfn.IFNA(INDEX('Attandance Tracker'!$B$3:$B$30,MATCH($A344,'Attandance Tracker'!$A$3:$A$30,0)),"")</f>
        <v xml:space="preserve"> Karan</v>
      </c>
      <c r="C344" s="14" t="str">
        <f>_xlfn.IFNA(INDEX('Attandance Tracker'!$C$3:$C$30,MATCH($A344,'Attandance Tracker'!$A$3:$A$30,0)),"")</f>
        <v>Finance</v>
      </c>
      <c r="D344" s="14">
        <v>31</v>
      </c>
      <c r="E344" s="7">
        <v>0.33333333333333331</v>
      </c>
      <c r="F344" s="7">
        <v>0.75</v>
      </c>
      <c r="G344" s="7">
        <f t="shared" si="19"/>
        <v>0.33333333333333331</v>
      </c>
      <c r="H344" s="7">
        <f t="shared" si="20"/>
        <v>8.333333333333337E-2</v>
      </c>
      <c r="I344" t="str">
        <f>IFERROR(IF(INDEX('Attandance Tracker'!$D$3:$AH$50,MATCH($A344,'Attandance Tracker'!$A$3:$A$50,0),DAY($D344))="P","Present",IF(INDEX('Attandance Tracker'!$D$3:$AH$50,MATCH($A344,'Attandance Tracker'!$A$3:$A$50,0),DAY($D344))="A","Absent","Leave")),"")</f>
        <v>Present</v>
      </c>
    </row>
    <row r="345" spans="1:9" x14ac:dyDescent="0.25">
      <c r="A345">
        <v>1012</v>
      </c>
      <c r="B345" t="str">
        <f>_xlfn.IFNA(INDEX('Attandance Tracker'!$B$3:$B$30,MATCH($A345,'Attandance Tracker'!$A$3:$A$30,0)),"")</f>
        <v xml:space="preserve"> Simran</v>
      </c>
      <c r="C345" s="14" t="str">
        <f>_xlfn.IFNA(INDEX('Attandance Tracker'!$C$3:$C$30,MATCH($A345,'Attandance Tracker'!$A$3:$A$30,0)),"")</f>
        <v>IT</v>
      </c>
      <c r="D345" s="14">
        <v>1</v>
      </c>
      <c r="E345" s="7">
        <v>0.33333333333333331</v>
      </c>
      <c r="F345" s="7">
        <v>0.83333333333333337</v>
      </c>
      <c r="G345" s="7">
        <f t="shared" si="19"/>
        <v>0.33333333333333331</v>
      </c>
      <c r="H345" s="7">
        <f t="shared" si="20"/>
        <v>0.16666666666666669</v>
      </c>
      <c r="I345" t="str">
        <f>IFERROR(IF(INDEX('Attandance Tracker'!$D$3:$AH$50,MATCH($A345,'Attandance Tracker'!$A$3:$A$50,0),DAY($D345))="P","Present",IF(INDEX('Attandance Tracker'!$D$3:$AH$50,MATCH($A345,'Attandance Tracker'!$A$3:$A$50,0),DAY($D345))="A","Absent","Leave")),"")</f>
        <v>Present</v>
      </c>
    </row>
    <row r="346" spans="1:9" x14ac:dyDescent="0.25">
      <c r="A346">
        <v>1012</v>
      </c>
      <c r="B346" t="str">
        <f>_xlfn.IFNA(INDEX('Attandance Tracker'!$B$3:$B$30,MATCH($A346,'Attandance Tracker'!$A$3:$A$30,0)),"")</f>
        <v xml:space="preserve"> Simran</v>
      </c>
      <c r="C346" s="14" t="str">
        <f>_xlfn.IFNA(INDEX('Attandance Tracker'!$C$3:$C$30,MATCH($A346,'Attandance Tracker'!$A$3:$A$30,0)),"")</f>
        <v>IT</v>
      </c>
      <c r="D346" s="14">
        <v>2</v>
      </c>
      <c r="E346" s="7">
        <v>0.375</v>
      </c>
      <c r="F346" s="7">
        <v>0.83333333333333337</v>
      </c>
      <c r="G346" s="7">
        <f t="shared" si="19"/>
        <v>0.33333333333333331</v>
      </c>
      <c r="H346" s="7">
        <f t="shared" si="20"/>
        <v>0.12500000000000006</v>
      </c>
      <c r="I346" t="str">
        <f>IFERROR(IF(INDEX('Attandance Tracker'!$D$3:$AH$50,MATCH($A346,'Attandance Tracker'!$A$3:$A$50,0),DAY($D346))="P","Present",IF(INDEX('Attandance Tracker'!$D$3:$AH$50,MATCH($A346,'Attandance Tracker'!$A$3:$A$50,0),DAY($D346))="A","Absent","Leave")),"")</f>
        <v>Present</v>
      </c>
    </row>
    <row r="347" spans="1:9" x14ac:dyDescent="0.25">
      <c r="A347">
        <v>1012</v>
      </c>
      <c r="B347" t="str">
        <f>_xlfn.IFNA(INDEX('Attandance Tracker'!$B$3:$B$30,MATCH($A347,'Attandance Tracker'!$A$3:$A$30,0)),"")</f>
        <v xml:space="preserve"> Simran</v>
      </c>
      <c r="C347" s="14" t="str">
        <f>_xlfn.IFNA(INDEX('Attandance Tracker'!$C$3:$C$30,MATCH($A347,'Attandance Tracker'!$A$3:$A$30,0)),"")</f>
        <v>IT</v>
      </c>
      <c r="D347" s="14">
        <v>3</v>
      </c>
      <c r="E347" s="7">
        <v>0.375</v>
      </c>
      <c r="F347" s="7">
        <v>0.83333333333333337</v>
      </c>
      <c r="G347" s="7">
        <f t="shared" si="19"/>
        <v>0.33333333333333331</v>
      </c>
      <c r="H347" s="7">
        <f t="shared" si="20"/>
        <v>0.12500000000000006</v>
      </c>
      <c r="I347" t="str">
        <f>IFERROR(IF(INDEX('Attandance Tracker'!$D$3:$AH$50,MATCH($A347,'Attandance Tracker'!$A$3:$A$50,0),DAY($D347))="P","Present",IF(INDEX('Attandance Tracker'!$D$3:$AH$50,MATCH($A347,'Attandance Tracker'!$A$3:$A$50,0),DAY($D347))="A","Absent","Leave")),"")</f>
        <v>Present</v>
      </c>
    </row>
    <row r="348" spans="1:9" x14ac:dyDescent="0.25">
      <c r="A348">
        <v>1012</v>
      </c>
      <c r="B348" t="str">
        <f>_xlfn.IFNA(INDEX('Attandance Tracker'!$B$3:$B$30,MATCH($A348,'Attandance Tracker'!$A$3:$A$30,0)),"")</f>
        <v xml:space="preserve"> Simran</v>
      </c>
      <c r="C348" s="14" t="str">
        <f>_xlfn.IFNA(INDEX('Attandance Tracker'!$C$3:$C$30,MATCH($A348,'Attandance Tracker'!$A$3:$A$30,0)),"")</f>
        <v>IT</v>
      </c>
      <c r="D348" s="14">
        <v>4</v>
      </c>
      <c r="E348" s="7">
        <v>0.375</v>
      </c>
      <c r="F348" s="7">
        <v>0.83333333333333337</v>
      </c>
      <c r="G348" s="7">
        <f t="shared" si="19"/>
        <v>0.33333333333333331</v>
      </c>
      <c r="H348" s="7">
        <f t="shared" si="20"/>
        <v>0.12500000000000006</v>
      </c>
      <c r="I348" t="str">
        <f>IFERROR(IF(INDEX('Attandance Tracker'!$D$3:$AH$50,MATCH($A348,'Attandance Tracker'!$A$3:$A$50,0),DAY($D348))="P","Present",IF(INDEX('Attandance Tracker'!$D$3:$AH$50,MATCH($A348,'Attandance Tracker'!$A$3:$A$50,0),DAY($D348))="A","Absent","Leave")),"")</f>
        <v>Present</v>
      </c>
    </row>
    <row r="349" spans="1:9" x14ac:dyDescent="0.25">
      <c r="A349">
        <v>1012</v>
      </c>
      <c r="B349" t="str">
        <f>_xlfn.IFNA(INDEX('Attandance Tracker'!$B$3:$B$30,MATCH($A349,'Attandance Tracker'!$A$3:$A$30,0)),"")</f>
        <v xml:space="preserve"> Simran</v>
      </c>
      <c r="C349" s="14" t="str">
        <f>_xlfn.IFNA(INDEX('Attandance Tracker'!$C$3:$C$30,MATCH($A349,'Attandance Tracker'!$A$3:$A$30,0)),"")</f>
        <v>IT</v>
      </c>
      <c r="D349" s="14">
        <v>5</v>
      </c>
      <c r="E349" s="7">
        <v>0.33333333333333331</v>
      </c>
      <c r="F349" s="17">
        <v>0.75</v>
      </c>
      <c r="G349" s="7">
        <f t="shared" si="19"/>
        <v>0.33333333333333331</v>
      </c>
      <c r="H349" s="7">
        <f t="shared" si="20"/>
        <v>8.333333333333337E-2</v>
      </c>
      <c r="I349" t="str">
        <f>IFERROR(IF(INDEX('Attandance Tracker'!$D$3:$AH$50,MATCH($A349,'Attandance Tracker'!$A$3:$A$50,0),DAY($D349))="P","Present",IF(INDEX('Attandance Tracker'!$D$3:$AH$50,MATCH($A349,'Attandance Tracker'!$A$3:$A$50,0),DAY($D349))="A","Absent","Leave")),"")</f>
        <v>Present</v>
      </c>
    </row>
    <row r="350" spans="1:9" x14ac:dyDescent="0.25">
      <c r="A350">
        <v>1012</v>
      </c>
      <c r="B350" t="str">
        <f>_xlfn.IFNA(INDEX('Attandance Tracker'!$B$3:$B$30,MATCH($A350,'Attandance Tracker'!$A$3:$A$30,0)),"")</f>
        <v xml:space="preserve"> Simran</v>
      </c>
      <c r="C350" s="14" t="str">
        <f>_xlfn.IFNA(INDEX('Attandance Tracker'!$C$3:$C$30,MATCH($A350,'Attandance Tracker'!$A$3:$A$30,0)),"")</f>
        <v>IT</v>
      </c>
      <c r="D350" s="14">
        <v>6</v>
      </c>
      <c r="E350" s="7">
        <v>0.375</v>
      </c>
      <c r="F350" s="7">
        <v>0.83333333333333337</v>
      </c>
      <c r="G350" s="7">
        <f t="shared" si="19"/>
        <v>0.33333333333333331</v>
      </c>
      <c r="H350" s="7">
        <f t="shared" si="20"/>
        <v>0.12500000000000006</v>
      </c>
      <c r="I350" t="str">
        <f>IFERROR(IF(INDEX('Attandance Tracker'!$D$3:$AH$50,MATCH($A350,'Attandance Tracker'!$A$3:$A$50,0),DAY($D350))="P","Present",IF(INDEX('Attandance Tracker'!$D$3:$AH$50,MATCH($A350,'Attandance Tracker'!$A$3:$A$50,0),DAY($D350))="A","Absent","Leave")),"")</f>
        <v>Present</v>
      </c>
    </row>
    <row r="351" spans="1:9" x14ac:dyDescent="0.25">
      <c r="A351">
        <v>1012</v>
      </c>
      <c r="B351" t="str">
        <f>_xlfn.IFNA(INDEX('Attandance Tracker'!$B$3:$B$30,MATCH($A351,'Attandance Tracker'!$A$3:$A$30,0)),"")</f>
        <v xml:space="preserve"> Simran</v>
      </c>
      <c r="C351" s="14" t="str">
        <f>_xlfn.IFNA(INDEX('Attandance Tracker'!$C$3:$C$30,MATCH($A351,'Attandance Tracker'!$A$3:$A$30,0)),"")</f>
        <v>IT</v>
      </c>
      <c r="D351" s="14">
        <v>7</v>
      </c>
      <c r="E351" s="7">
        <v>0.33333333333333331</v>
      </c>
      <c r="F351" s="7">
        <v>0.79166666666666663</v>
      </c>
      <c r="G351" s="7">
        <f t="shared" si="19"/>
        <v>0.33333333333333331</v>
      </c>
      <c r="H351" s="7">
        <f t="shared" si="20"/>
        <v>0.125</v>
      </c>
      <c r="I351" t="str">
        <f>IFERROR(IF(INDEX('Attandance Tracker'!$D$3:$AH$50,MATCH($A351,'Attandance Tracker'!$A$3:$A$50,0),DAY($D351))="P","Present",IF(INDEX('Attandance Tracker'!$D$3:$AH$50,MATCH($A351,'Attandance Tracker'!$A$3:$A$50,0),DAY($D351))="A","Absent","Leave")),"")</f>
        <v>Present</v>
      </c>
    </row>
    <row r="352" spans="1:9" x14ac:dyDescent="0.25">
      <c r="A352">
        <v>1012</v>
      </c>
      <c r="B352" t="str">
        <f>_xlfn.IFNA(INDEX('Attandance Tracker'!$B$3:$B$30,MATCH($A352,'Attandance Tracker'!$A$3:$A$30,0)),"")</f>
        <v xml:space="preserve"> Simran</v>
      </c>
      <c r="C352" s="14" t="str">
        <f>_xlfn.IFNA(INDEX('Attandance Tracker'!$C$3:$C$30,MATCH($A352,'Attandance Tracker'!$A$3:$A$30,0)),"")</f>
        <v>IT</v>
      </c>
      <c r="D352" s="14">
        <v>8</v>
      </c>
      <c r="E352" s="7">
        <v>0.33333333333333331</v>
      </c>
      <c r="F352" s="7">
        <v>0.75</v>
      </c>
      <c r="G352" s="7">
        <f t="shared" si="19"/>
        <v>0.33333333333333331</v>
      </c>
      <c r="H352" s="7">
        <f t="shared" si="20"/>
        <v>8.333333333333337E-2</v>
      </c>
      <c r="I352" t="str">
        <f>IFERROR(IF(INDEX('Attandance Tracker'!$D$3:$AH$50,MATCH($A352,'Attandance Tracker'!$A$3:$A$50,0),DAY($D352))="P","Present",IF(INDEX('Attandance Tracker'!$D$3:$AH$50,MATCH($A352,'Attandance Tracker'!$A$3:$A$50,0),DAY($D352))="A","Absent","Leave")),"")</f>
        <v>Present</v>
      </c>
    </row>
    <row r="353" spans="1:9" x14ac:dyDescent="0.25">
      <c r="A353">
        <v>1012</v>
      </c>
      <c r="B353" t="str">
        <f>_xlfn.IFNA(INDEX('Attandance Tracker'!$B$3:$B$30,MATCH($A353,'Attandance Tracker'!$A$3:$A$30,0)),"")</f>
        <v xml:space="preserve"> Simran</v>
      </c>
      <c r="C353" s="14" t="str">
        <f>_xlfn.IFNA(INDEX('Attandance Tracker'!$C$3:$C$30,MATCH($A353,'Attandance Tracker'!$A$3:$A$30,0)),"")</f>
        <v>IT</v>
      </c>
      <c r="D353" s="14">
        <v>9</v>
      </c>
      <c r="E353" s="7">
        <v>0.375</v>
      </c>
      <c r="F353" s="7">
        <v>0.83333333333333337</v>
      </c>
      <c r="G353" s="7">
        <f t="shared" si="19"/>
        <v>0.33333333333333331</v>
      </c>
      <c r="H353" s="7">
        <f t="shared" si="20"/>
        <v>0.12500000000000006</v>
      </c>
      <c r="I353" t="str">
        <f>IFERROR(IF(INDEX('Attandance Tracker'!$D$3:$AH$50,MATCH($A353,'Attandance Tracker'!$A$3:$A$50,0),DAY($D353))="P","Present",IF(INDEX('Attandance Tracker'!$D$3:$AH$50,MATCH($A353,'Attandance Tracker'!$A$3:$A$50,0),DAY($D353))="A","Absent","Leave")),"")</f>
        <v>Present</v>
      </c>
    </row>
    <row r="354" spans="1:9" x14ac:dyDescent="0.25">
      <c r="A354">
        <v>1012</v>
      </c>
      <c r="B354" t="str">
        <f>_xlfn.IFNA(INDEX('Attandance Tracker'!$B$3:$B$30,MATCH($A354,'Attandance Tracker'!$A$3:$A$30,0)),"")</f>
        <v xml:space="preserve"> Simran</v>
      </c>
      <c r="C354" s="14" t="str">
        <f>_xlfn.IFNA(INDEX('Attandance Tracker'!$C$3:$C$30,MATCH($A354,'Attandance Tracker'!$A$3:$A$30,0)),"")</f>
        <v>IT</v>
      </c>
      <c r="D354" s="14">
        <v>10</v>
      </c>
      <c r="E354" s="7">
        <v>0.375</v>
      </c>
      <c r="F354" s="7">
        <v>0.83333333333333337</v>
      </c>
      <c r="G354" s="7">
        <f t="shared" si="19"/>
        <v>0.33333333333333331</v>
      </c>
      <c r="H354" s="7">
        <f t="shared" si="20"/>
        <v>0.12500000000000006</v>
      </c>
      <c r="I354" t="str">
        <f>IFERROR(IF(INDEX('Attandance Tracker'!$D$3:$AH$50,MATCH($A354,'Attandance Tracker'!$A$3:$A$50,0),DAY($D354))="P","Present",IF(INDEX('Attandance Tracker'!$D$3:$AH$50,MATCH($A354,'Attandance Tracker'!$A$3:$A$50,0),DAY($D354))="A","Absent","Leave")),"")</f>
        <v>Present</v>
      </c>
    </row>
    <row r="355" spans="1:9" x14ac:dyDescent="0.25">
      <c r="A355">
        <v>1012</v>
      </c>
      <c r="B355" t="str">
        <f>_xlfn.IFNA(INDEX('Attandance Tracker'!$B$3:$B$30,MATCH($A355,'Attandance Tracker'!$A$3:$A$30,0)),"")</f>
        <v xml:space="preserve"> Simran</v>
      </c>
      <c r="C355" s="14" t="str">
        <f>_xlfn.IFNA(INDEX('Attandance Tracker'!$C$3:$C$30,MATCH($A355,'Attandance Tracker'!$A$3:$A$30,0)),"")</f>
        <v>IT</v>
      </c>
      <c r="D355" s="14">
        <v>11</v>
      </c>
      <c r="E355" s="7">
        <v>0.375</v>
      </c>
      <c r="F355" s="7">
        <v>0.79166666666666663</v>
      </c>
      <c r="G355" s="7">
        <f t="shared" si="19"/>
        <v>0.33333333333333331</v>
      </c>
      <c r="H355" s="7">
        <f t="shared" si="20"/>
        <v>8.3333333333333315E-2</v>
      </c>
      <c r="I355" t="str">
        <f>IFERROR(IF(INDEX('Attandance Tracker'!$D$3:$AH$50,MATCH($A355,'Attandance Tracker'!$A$3:$A$50,0),DAY($D355))="P","Present",IF(INDEX('Attandance Tracker'!$D$3:$AH$50,MATCH($A355,'Attandance Tracker'!$A$3:$A$50,0),DAY($D355))="A","Absent","Leave")),"")</f>
        <v>Present</v>
      </c>
    </row>
    <row r="356" spans="1:9" x14ac:dyDescent="0.25">
      <c r="A356">
        <v>1012</v>
      </c>
      <c r="B356" t="str">
        <f>_xlfn.IFNA(INDEX('Attandance Tracker'!$B$3:$B$30,MATCH($A356,'Attandance Tracker'!$A$3:$A$30,0)),"")</f>
        <v xml:space="preserve"> Simran</v>
      </c>
      <c r="C356" s="14" t="str">
        <f>_xlfn.IFNA(INDEX('Attandance Tracker'!$C$3:$C$30,MATCH($A356,'Attandance Tracker'!$A$3:$A$30,0)),"")</f>
        <v>IT</v>
      </c>
      <c r="D356" s="14">
        <v>12</v>
      </c>
      <c r="E356" s="7">
        <v>0.33333333333333331</v>
      </c>
      <c r="F356" s="7">
        <v>0.83333333333333337</v>
      </c>
      <c r="G356" s="7">
        <f t="shared" si="19"/>
        <v>0.33333333333333331</v>
      </c>
      <c r="H356" s="7">
        <f t="shared" si="20"/>
        <v>0.16666666666666669</v>
      </c>
      <c r="I356" t="str">
        <f>IFERROR(IF(INDEX('Attandance Tracker'!$D$3:$AH$50,MATCH($A356,'Attandance Tracker'!$A$3:$A$50,0),DAY($D356))="P","Present",IF(INDEX('Attandance Tracker'!$D$3:$AH$50,MATCH($A356,'Attandance Tracker'!$A$3:$A$50,0),DAY($D356))="A","Absent","Leave")),"")</f>
        <v>Present</v>
      </c>
    </row>
    <row r="357" spans="1:9" x14ac:dyDescent="0.25">
      <c r="A357">
        <v>1012</v>
      </c>
      <c r="B357" t="str">
        <f>_xlfn.IFNA(INDEX('Attandance Tracker'!$B$3:$B$30,MATCH($A357,'Attandance Tracker'!$A$3:$A$30,0)),"")</f>
        <v xml:space="preserve"> Simran</v>
      </c>
      <c r="C357" s="14" t="str">
        <f>_xlfn.IFNA(INDEX('Attandance Tracker'!$C$3:$C$30,MATCH($A357,'Attandance Tracker'!$A$3:$A$30,0)),"")</f>
        <v>IT</v>
      </c>
      <c r="D357" s="14">
        <v>13</v>
      </c>
      <c r="E357" s="7">
        <v>0.33333333333333331</v>
      </c>
      <c r="F357" s="7">
        <v>0.83333333333333337</v>
      </c>
      <c r="G357" s="7">
        <f t="shared" si="19"/>
        <v>0.33333333333333331</v>
      </c>
      <c r="H357" s="7">
        <f t="shared" si="20"/>
        <v>0.16666666666666669</v>
      </c>
      <c r="I357" t="str">
        <f>IFERROR(IF(INDEX('Attandance Tracker'!$D$3:$AH$50,MATCH($A357,'Attandance Tracker'!$A$3:$A$50,0),DAY($D357))="P","Present",IF(INDEX('Attandance Tracker'!$D$3:$AH$50,MATCH($A357,'Attandance Tracker'!$A$3:$A$50,0),DAY($D357))="A","Absent","Leave")),"")</f>
        <v>Present</v>
      </c>
    </row>
    <row r="358" spans="1:9" x14ac:dyDescent="0.25">
      <c r="A358">
        <v>1012</v>
      </c>
      <c r="B358" t="str">
        <f>_xlfn.IFNA(INDEX('Attandance Tracker'!$B$3:$B$30,MATCH($A358,'Attandance Tracker'!$A$3:$A$30,0)),"")</f>
        <v xml:space="preserve"> Simran</v>
      </c>
      <c r="C358" s="14" t="str">
        <f>_xlfn.IFNA(INDEX('Attandance Tracker'!$C$3:$C$30,MATCH($A358,'Attandance Tracker'!$A$3:$A$30,0)),"")</f>
        <v>IT</v>
      </c>
      <c r="D358" s="14">
        <v>14</v>
      </c>
      <c r="E358" s="7">
        <v>0.33333333333333331</v>
      </c>
      <c r="F358" s="7">
        <v>0.79166666666666663</v>
      </c>
      <c r="G358" s="7">
        <f t="shared" si="19"/>
        <v>0.33333333333333331</v>
      </c>
      <c r="H358" s="7">
        <f t="shared" si="20"/>
        <v>0.125</v>
      </c>
      <c r="I358" t="str">
        <f>IFERROR(IF(INDEX('Attandance Tracker'!$D$3:$AH$50,MATCH($A358,'Attandance Tracker'!$A$3:$A$50,0),DAY($D358))="P","Present",IF(INDEX('Attandance Tracker'!$D$3:$AH$50,MATCH($A358,'Attandance Tracker'!$A$3:$A$50,0),DAY($D358))="A","Absent","Leave")),"")</f>
        <v>Present</v>
      </c>
    </row>
    <row r="359" spans="1:9" x14ac:dyDescent="0.25">
      <c r="A359">
        <v>1012</v>
      </c>
      <c r="B359" t="str">
        <f>_xlfn.IFNA(INDEX('Attandance Tracker'!$B$3:$B$30,MATCH($A359,'Attandance Tracker'!$A$3:$A$30,0)),"")</f>
        <v xml:space="preserve"> Simran</v>
      </c>
      <c r="C359" s="14" t="str">
        <f>_xlfn.IFNA(INDEX('Attandance Tracker'!$C$3:$C$30,MATCH($A359,'Attandance Tracker'!$A$3:$A$30,0)),"")</f>
        <v>IT</v>
      </c>
      <c r="D359" s="14">
        <v>15</v>
      </c>
      <c r="E359" s="7">
        <v>0.33333333333333331</v>
      </c>
      <c r="F359" s="7">
        <v>0.83333333333333337</v>
      </c>
      <c r="G359" s="7">
        <f t="shared" si="19"/>
        <v>0.33333333333333331</v>
      </c>
      <c r="H359" s="7">
        <f t="shared" si="20"/>
        <v>0.16666666666666669</v>
      </c>
      <c r="I359" t="str">
        <f>IFERROR(IF(INDEX('Attandance Tracker'!$D$3:$AH$50,MATCH($A359,'Attandance Tracker'!$A$3:$A$50,0),DAY($D359))="P","Present",IF(INDEX('Attandance Tracker'!$D$3:$AH$50,MATCH($A359,'Attandance Tracker'!$A$3:$A$50,0),DAY($D359))="A","Absent","Leave")),"")</f>
        <v>Present</v>
      </c>
    </row>
    <row r="360" spans="1:9" x14ac:dyDescent="0.25">
      <c r="A360">
        <v>1012</v>
      </c>
      <c r="B360" t="str">
        <f>_xlfn.IFNA(INDEX('Attandance Tracker'!$B$3:$B$30,MATCH($A360,'Attandance Tracker'!$A$3:$A$30,0)),"")</f>
        <v xml:space="preserve"> Simran</v>
      </c>
      <c r="C360" s="14" t="str">
        <f>_xlfn.IFNA(INDEX('Attandance Tracker'!$C$3:$C$30,MATCH($A360,'Attandance Tracker'!$A$3:$A$30,0)),"")</f>
        <v>IT</v>
      </c>
      <c r="D360" s="14">
        <v>16</v>
      </c>
      <c r="E360" s="7">
        <v>0.33333333333333331</v>
      </c>
      <c r="F360" s="7">
        <v>0.75</v>
      </c>
      <c r="G360" s="7">
        <f t="shared" si="19"/>
        <v>0.33333333333333331</v>
      </c>
      <c r="H360" s="7">
        <f t="shared" si="20"/>
        <v>8.333333333333337E-2</v>
      </c>
      <c r="I360" t="str">
        <f>IFERROR(IF(INDEX('Attandance Tracker'!$D$3:$AH$50,MATCH($A360,'Attandance Tracker'!$A$3:$A$50,0),DAY($D360))="P","Present",IF(INDEX('Attandance Tracker'!$D$3:$AH$50,MATCH($A360,'Attandance Tracker'!$A$3:$A$50,0),DAY($D360))="A","Absent","Leave")),"")</f>
        <v>Present</v>
      </c>
    </row>
    <row r="361" spans="1:9" x14ac:dyDescent="0.25">
      <c r="A361">
        <v>1012</v>
      </c>
      <c r="B361" t="str">
        <f>_xlfn.IFNA(INDEX('Attandance Tracker'!$B$3:$B$30,MATCH($A361,'Attandance Tracker'!$A$3:$A$30,0)),"")</f>
        <v xml:space="preserve"> Simran</v>
      </c>
      <c r="C361" s="14" t="str">
        <f>_xlfn.IFNA(INDEX('Attandance Tracker'!$C$3:$C$30,MATCH($A361,'Attandance Tracker'!$A$3:$A$30,0)),"")</f>
        <v>IT</v>
      </c>
      <c r="D361" s="14">
        <v>17</v>
      </c>
      <c r="E361" s="7">
        <v>0.33333333333333331</v>
      </c>
      <c r="F361" s="7">
        <v>0.83333333333333337</v>
      </c>
      <c r="G361" s="7">
        <f t="shared" si="19"/>
        <v>0.33333333333333331</v>
      </c>
      <c r="H361" s="7">
        <f t="shared" si="20"/>
        <v>0.16666666666666669</v>
      </c>
      <c r="I361" t="str">
        <f>IFERROR(IF(INDEX('Attandance Tracker'!$D$3:$AH$50,MATCH($A361,'Attandance Tracker'!$A$3:$A$50,0),DAY($D361))="P","Present",IF(INDEX('Attandance Tracker'!$D$3:$AH$50,MATCH($A361,'Attandance Tracker'!$A$3:$A$50,0),DAY($D361))="A","Absent","Leave")),"")</f>
        <v>Present</v>
      </c>
    </row>
    <row r="362" spans="1:9" x14ac:dyDescent="0.25">
      <c r="A362">
        <v>1012</v>
      </c>
      <c r="B362" t="str">
        <f>_xlfn.IFNA(INDEX('Attandance Tracker'!$B$3:$B$30,MATCH($A362,'Attandance Tracker'!$A$3:$A$30,0)),"")</f>
        <v xml:space="preserve"> Simran</v>
      </c>
      <c r="C362" s="14" t="str">
        <f>_xlfn.IFNA(INDEX('Attandance Tracker'!$C$3:$C$30,MATCH($A362,'Attandance Tracker'!$A$3:$A$30,0)),"")</f>
        <v>IT</v>
      </c>
      <c r="D362" s="14">
        <v>18</v>
      </c>
      <c r="E362" s="7">
        <v>0.33333333333333331</v>
      </c>
      <c r="F362" s="7">
        <v>0.83333333333333337</v>
      </c>
      <c r="G362" s="7">
        <f t="shared" si="19"/>
        <v>0.33333333333333331</v>
      </c>
      <c r="H362" s="7">
        <f t="shared" si="20"/>
        <v>0.16666666666666669</v>
      </c>
      <c r="I362" t="str">
        <f>IFERROR(IF(INDEX('Attandance Tracker'!$D$3:$AH$50,MATCH($A362,'Attandance Tracker'!$A$3:$A$50,0),DAY($D362))="P","Present",IF(INDEX('Attandance Tracker'!$D$3:$AH$50,MATCH($A362,'Attandance Tracker'!$A$3:$A$50,0),DAY($D362))="A","Absent","Leave")),"")</f>
        <v>Present</v>
      </c>
    </row>
    <row r="363" spans="1:9" x14ac:dyDescent="0.25">
      <c r="A363">
        <v>1012</v>
      </c>
      <c r="B363" t="str">
        <f>_xlfn.IFNA(INDEX('Attandance Tracker'!$B$3:$B$30,MATCH($A363,'Attandance Tracker'!$A$3:$A$30,0)),"")</f>
        <v xml:space="preserve"> Simran</v>
      </c>
      <c r="C363" s="14" t="str">
        <f>_xlfn.IFNA(INDEX('Attandance Tracker'!$C$3:$C$30,MATCH($A363,'Attandance Tracker'!$A$3:$A$30,0)),"")</f>
        <v>IT</v>
      </c>
      <c r="D363" s="14">
        <v>19</v>
      </c>
      <c r="E363" s="7">
        <v>0.375</v>
      </c>
      <c r="F363" s="7">
        <v>0.83333333333333337</v>
      </c>
      <c r="G363" s="7">
        <f t="shared" si="19"/>
        <v>0.33333333333333331</v>
      </c>
      <c r="H363" s="7">
        <f t="shared" si="20"/>
        <v>0.12500000000000006</v>
      </c>
      <c r="I363" t="str">
        <f>IFERROR(IF(INDEX('Attandance Tracker'!$D$3:$AH$50,MATCH($A363,'Attandance Tracker'!$A$3:$A$50,0),DAY($D363))="P","Present",IF(INDEX('Attandance Tracker'!$D$3:$AH$50,MATCH($A363,'Attandance Tracker'!$A$3:$A$50,0),DAY($D363))="A","Absent","Leave")),"")</f>
        <v>Present</v>
      </c>
    </row>
    <row r="364" spans="1:9" x14ac:dyDescent="0.25">
      <c r="A364">
        <v>1012</v>
      </c>
      <c r="B364" t="str">
        <f>_xlfn.IFNA(INDEX('Attandance Tracker'!$B$3:$B$30,MATCH($A364,'Attandance Tracker'!$A$3:$A$30,0)),"")</f>
        <v xml:space="preserve"> Simran</v>
      </c>
      <c r="C364" s="14" t="str">
        <f>_xlfn.IFNA(INDEX('Attandance Tracker'!$C$3:$C$30,MATCH($A364,'Attandance Tracker'!$A$3:$A$30,0)),"")</f>
        <v>IT</v>
      </c>
      <c r="D364" s="14">
        <v>20</v>
      </c>
      <c r="E364" s="7">
        <v>0.375</v>
      </c>
      <c r="F364" s="7">
        <v>0.83333333333333337</v>
      </c>
      <c r="G364" s="7">
        <f t="shared" si="19"/>
        <v>0.33333333333333331</v>
      </c>
      <c r="H364" s="7">
        <f t="shared" si="20"/>
        <v>0.12500000000000006</v>
      </c>
      <c r="I364" t="str">
        <f>IFERROR(IF(INDEX('Attandance Tracker'!$D$3:$AH$50,MATCH($A364,'Attandance Tracker'!$A$3:$A$50,0),DAY($D364))="P","Present",IF(INDEX('Attandance Tracker'!$D$3:$AH$50,MATCH($A364,'Attandance Tracker'!$A$3:$A$50,0),DAY($D364))="A","Absent","Leave")),"")</f>
        <v>Present</v>
      </c>
    </row>
    <row r="365" spans="1:9" x14ac:dyDescent="0.25">
      <c r="A365">
        <v>1012</v>
      </c>
      <c r="B365" t="str">
        <f>_xlfn.IFNA(INDEX('Attandance Tracker'!$B$3:$B$30,MATCH($A365,'Attandance Tracker'!$A$3:$A$30,0)),"")</f>
        <v xml:space="preserve"> Simran</v>
      </c>
      <c r="C365" s="14" t="str">
        <f>_xlfn.IFNA(INDEX('Attandance Tracker'!$C$3:$C$30,MATCH($A365,'Attandance Tracker'!$A$3:$A$30,0)),"")</f>
        <v>IT</v>
      </c>
      <c r="D365" s="14">
        <v>21</v>
      </c>
      <c r="E365" s="7">
        <v>0.375</v>
      </c>
      <c r="F365" s="17">
        <v>0.75</v>
      </c>
      <c r="G365" s="7">
        <f t="shared" si="19"/>
        <v>0.33333333333333331</v>
      </c>
      <c r="H365" s="7">
        <f t="shared" si="20"/>
        <v>4.1666666666666685E-2</v>
      </c>
      <c r="I365" t="str">
        <f>IFERROR(IF(INDEX('Attandance Tracker'!$D$3:$AH$50,MATCH($A365,'Attandance Tracker'!$A$3:$A$50,0),DAY($D365))="P","Present",IF(INDEX('Attandance Tracker'!$D$3:$AH$50,MATCH($A365,'Attandance Tracker'!$A$3:$A$50,0),DAY($D365))="A","Absent","Leave")),"")</f>
        <v>Present</v>
      </c>
    </row>
    <row r="366" spans="1:9" x14ac:dyDescent="0.25">
      <c r="A366">
        <v>1012</v>
      </c>
      <c r="B366" t="str">
        <f>_xlfn.IFNA(INDEX('Attandance Tracker'!$B$3:$B$30,MATCH($A366,'Attandance Tracker'!$A$3:$A$30,0)),"")</f>
        <v xml:space="preserve"> Simran</v>
      </c>
      <c r="C366" s="14" t="str">
        <f>_xlfn.IFNA(INDEX('Attandance Tracker'!$C$3:$C$30,MATCH($A366,'Attandance Tracker'!$A$3:$A$30,0)),"")</f>
        <v>IT</v>
      </c>
      <c r="D366" s="14">
        <v>22</v>
      </c>
      <c r="E366" s="7">
        <v>0.33333333333333331</v>
      </c>
      <c r="F366" s="7">
        <v>0.83333333333333337</v>
      </c>
      <c r="G366" s="7">
        <f t="shared" si="19"/>
        <v>0.33333333333333331</v>
      </c>
      <c r="H366" s="7">
        <f t="shared" si="20"/>
        <v>0.16666666666666669</v>
      </c>
      <c r="I366" t="str">
        <f>IFERROR(IF(INDEX('Attandance Tracker'!$D$3:$AH$50,MATCH($A366,'Attandance Tracker'!$A$3:$A$50,0),DAY($D366))="P","Present",IF(INDEX('Attandance Tracker'!$D$3:$AH$50,MATCH($A366,'Attandance Tracker'!$A$3:$A$50,0),DAY($D366))="A","Absent","Leave")),"")</f>
        <v>Present</v>
      </c>
    </row>
    <row r="367" spans="1:9" x14ac:dyDescent="0.25">
      <c r="A367">
        <v>1012</v>
      </c>
      <c r="B367" t="str">
        <f>_xlfn.IFNA(INDEX('Attandance Tracker'!$B$3:$B$30,MATCH($A367,'Attandance Tracker'!$A$3:$A$30,0)),"")</f>
        <v xml:space="preserve"> Simran</v>
      </c>
      <c r="C367" s="14" t="str">
        <f>_xlfn.IFNA(INDEX('Attandance Tracker'!$C$3:$C$30,MATCH($A367,'Attandance Tracker'!$A$3:$A$30,0)),"")</f>
        <v>IT</v>
      </c>
      <c r="D367" s="14">
        <v>23</v>
      </c>
      <c r="E367" s="7">
        <v>0.375</v>
      </c>
      <c r="F367" s="7">
        <v>0.79166666666666663</v>
      </c>
      <c r="G367" s="7">
        <f t="shared" si="19"/>
        <v>0.33333333333333331</v>
      </c>
      <c r="H367" s="7">
        <f t="shared" si="20"/>
        <v>8.3333333333333315E-2</v>
      </c>
      <c r="I367" t="str">
        <f>IFERROR(IF(INDEX('Attandance Tracker'!$D$3:$AH$50,MATCH($A367,'Attandance Tracker'!$A$3:$A$50,0),DAY($D367))="P","Present",IF(INDEX('Attandance Tracker'!$D$3:$AH$50,MATCH($A367,'Attandance Tracker'!$A$3:$A$50,0),DAY($D367))="A","Absent","Leave")),"")</f>
        <v>Present</v>
      </c>
    </row>
    <row r="368" spans="1:9" x14ac:dyDescent="0.25">
      <c r="A368">
        <v>1012</v>
      </c>
      <c r="B368" t="str">
        <f>_xlfn.IFNA(INDEX('Attandance Tracker'!$B$3:$B$30,MATCH($A368,'Attandance Tracker'!$A$3:$A$30,0)),"")</f>
        <v xml:space="preserve"> Simran</v>
      </c>
      <c r="C368" s="14" t="str">
        <f>_xlfn.IFNA(INDEX('Attandance Tracker'!$C$3:$C$30,MATCH($A368,'Attandance Tracker'!$A$3:$A$30,0)),"")</f>
        <v>IT</v>
      </c>
      <c r="D368" s="14">
        <v>24</v>
      </c>
      <c r="E368" s="7">
        <v>0.33333333333333331</v>
      </c>
      <c r="F368" s="7">
        <v>0.75</v>
      </c>
      <c r="G368" s="7">
        <f t="shared" si="19"/>
        <v>0.33333333333333331</v>
      </c>
      <c r="H368" s="7">
        <f t="shared" si="20"/>
        <v>8.333333333333337E-2</v>
      </c>
      <c r="I368" t="str">
        <f>IFERROR(IF(INDEX('Attandance Tracker'!$D$3:$AH$50,MATCH($A368,'Attandance Tracker'!$A$3:$A$50,0),DAY($D368))="P","Present",IF(INDEX('Attandance Tracker'!$D$3:$AH$50,MATCH($A368,'Attandance Tracker'!$A$3:$A$50,0),DAY($D368))="A","Absent","Leave")),"")</f>
        <v>Present</v>
      </c>
    </row>
    <row r="369" spans="1:9" x14ac:dyDescent="0.25">
      <c r="A369">
        <v>1012</v>
      </c>
      <c r="B369" t="str">
        <f>_xlfn.IFNA(INDEX('Attandance Tracker'!$B$3:$B$30,MATCH($A369,'Attandance Tracker'!$A$3:$A$30,0)),"")</f>
        <v xml:space="preserve"> Simran</v>
      </c>
      <c r="C369" s="14" t="str">
        <f>_xlfn.IFNA(INDEX('Attandance Tracker'!$C$3:$C$30,MATCH($A369,'Attandance Tracker'!$A$3:$A$30,0)),"")</f>
        <v>IT</v>
      </c>
      <c r="D369" s="14">
        <v>25</v>
      </c>
      <c r="E369" s="7">
        <v>0.33333333333333331</v>
      </c>
      <c r="F369" s="7">
        <v>0.83333333333333337</v>
      </c>
      <c r="G369" s="7">
        <f t="shared" si="19"/>
        <v>0.33333333333333331</v>
      </c>
      <c r="H369" s="7">
        <f t="shared" si="20"/>
        <v>0.16666666666666669</v>
      </c>
      <c r="I369" t="str">
        <f>IFERROR(IF(INDEX('Attandance Tracker'!$D$3:$AH$50,MATCH($A369,'Attandance Tracker'!$A$3:$A$50,0),DAY($D369))="P","Present",IF(INDEX('Attandance Tracker'!$D$3:$AH$50,MATCH($A369,'Attandance Tracker'!$A$3:$A$50,0),DAY($D369))="A","Absent","Leave")),"")</f>
        <v>Present</v>
      </c>
    </row>
    <row r="370" spans="1:9" x14ac:dyDescent="0.25">
      <c r="A370">
        <v>1012</v>
      </c>
      <c r="B370" t="str">
        <f>_xlfn.IFNA(INDEX('Attandance Tracker'!$B$3:$B$30,MATCH($A370,'Attandance Tracker'!$A$3:$A$30,0)),"")</f>
        <v xml:space="preserve"> Simran</v>
      </c>
      <c r="C370" s="14" t="str">
        <f>_xlfn.IFNA(INDEX('Attandance Tracker'!$C$3:$C$30,MATCH($A370,'Attandance Tracker'!$A$3:$A$30,0)),"")</f>
        <v>IT</v>
      </c>
      <c r="D370" s="14">
        <v>26</v>
      </c>
      <c r="E370" s="7">
        <v>0.375</v>
      </c>
      <c r="F370" s="7">
        <v>0.83333333333333337</v>
      </c>
      <c r="G370" s="7">
        <f t="shared" si="19"/>
        <v>0.33333333333333331</v>
      </c>
      <c r="H370" s="7">
        <f t="shared" si="20"/>
        <v>0</v>
      </c>
      <c r="I370" t="str">
        <f>IFERROR(IF(INDEX('Attandance Tracker'!$D$3:$AH$50,MATCH($A370,'Attandance Tracker'!$A$3:$A$50,0),DAY($D370))="P","Present",IF(INDEX('Attandance Tracker'!$D$3:$AH$50,MATCH($A370,'Attandance Tracker'!$A$3:$A$50,0),DAY($D370))="A","Absent","Leave")),"")</f>
        <v>Absent</v>
      </c>
    </row>
    <row r="371" spans="1:9" x14ac:dyDescent="0.25">
      <c r="A371">
        <v>1012</v>
      </c>
      <c r="B371" t="str">
        <f>_xlfn.IFNA(INDEX('Attandance Tracker'!$B$3:$B$30,MATCH($A371,'Attandance Tracker'!$A$3:$A$30,0)),"")</f>
        <v xml:space="preserve"> Simran</v>
      </c>
      <c r="C371" s="14" t="str">
        <f>_xlfn.IFNA(INDEX('Attandance Tracker'!$C$3:$C$30,MATCH($A371,'Attandance Tracker'!$A$3:$A$30,0)),"")</f>
        <v>IT</v>
      </c>
      <c r="D371" s="14">
        <v>27</v>
      </c>
      <c r="E371" s="7">
        <v>0.375</v>
      </c>
      <c r="F371" s="7">
        <v>0.79166666666666663</v>
      </c>
      <c r="G371" s="7">
        <f t="shared" si="19"/>
        <v>0.33333333333333331</v>
      </c>
      <c r="H371" s="7">
        <f t="shared" si="20"/>
        <v>0</v>
      </c>
      <c r="I371" t="str">
        <f>IFERROR(IF(INDEX('Attandance Tracker'!$D$3:$AH$50,MATCH($A371,'Attandance Tracker'!$A$3:$A$50,0),DAY($D371))="P","Present",IF(INDEX('Attandance Tracker'!$D$3:$AH$50,MATCH($A371,'Attandance Tracker'!$A$3:$A$50,0),DAY($D371))="A","Absent","Leave")),"")</f>
        <v>Absent</v>
      </c>
    </row>
    <row r="372" spans="1:9" x14ac:dyDescent="0.25">
      <c r="A372">
        <v>1012</v>
      </c>
      <c r="B372" t="str">
        <f>_xlfn.IFNA(INDEX('Attandance Tracker'!$B$3:$B$30,MATCH($A372,'Attandance Tracker'!$A$3:$A$30,0)),"")</f>
        <v xml:space="preserve"> Simran</v>
      </c>
      <c r="C372" s="14" t="str">
        <f>_xlfn.IFNA(INDEX('Attandance Tracker'!$C$3:$C$30,MATCH($A372,'Attandance Tracker'!$A$3:$A$30,0)),"")</f>
        <v>IT</v>
      </c>
      <c r="D372" s="14">
        <v>28</v>
      </c>
      <c r="E372" s="7">
        <v>0.375</v>
      </c>
      <c r="F372" s="7">
        <v>0.83333333333333337</v>
      </c>
      <c r="G372" s="7">
        <f t="shared" si="19"/>
        <v>0.33333333333333331</v>
      </c>
      <c r="H372" s="7">
        <f t="shared" si="20"/>
        <v>0.12500000000000006</v>
      </c>
      <c r="I372" t="str">
        <f>IFERROR(IF(INDEX('Attandance Tracker'!$D$3:$AH$50,MATCH($A372,'Attandance Tracker'!$A$3:$A$50,0),DAY($D372))="P","Present",IF(INDEX('Attandance Tracker'!$D$3:$AH$50,MATCH($A372,'Attandance Tracker'!$A$3:$A$50,0),DAY($D372))="A","Absent","Leave")),"")</f>
        <v>Present</v>
      </c>
    </row>
    <row r="373" spans="1:9" x14ac:dyDescent="0.25">
      <c r="A373">
        <v>1012</v>
      </c>
      <c r="B373" t="str">
        <f>_xlfn.IFNA(INDEX('Attandance Tracker'!$B$3:$B$30,MATCH($A373,'Attandance Tracker'!$A$3:$A$30,0)),"")</f>
        <v xml:space="preserve"> Simran</v>
      </c>
      <c r="C373" s="14" t="str">
        <f>_xlfn.IFNA(INDEX('Attandance Tracker'!$C$3:$C$30,MATCH($A373,'Attandance Tracker'!$A$3:$A$30,0)),"")</f>
        <v>IT</v>
      </c>
      <c r="D373" s="14">
        <v>29</v>
      </c>
      <c r="E373" s="7">
        <v>0.33333333333333331</v>
      </c>
      <c r="F373" s="7">
        <v>0.83333333333333337</v>
      </c>
      <c r="G373" s="7">
        <f t="shared" si="19"/>
        <v>0.33333333333333331</v>
      </c>
      <c r="H373" s="7">
        <f t="shared" si="20"/>
        <v>0.16666666666666669</v>
      </c>
      <c r="I373" t="str">
        <f>IFERROR(IF(INDEX('Attandance Tracker'!$D$3:$AH$50,MATCH($A373,'Attandance Tracker'!$A$3:$A$50,0),DAY($D373))="P","Present",IF(INDEX('Attandance Tracker'!$D$3:$AH$50,MATCH($A373,'Attandance Tracker'!$A$3:$A$50,0),DAY($D373))="A","Absent","Leave")),"")</f>
        <v>Present</v>
      </c>
    </row>
    <row r="374" spans="1:9" x14ac:dyDescent="0.25">
      <c r="A374">
        <v>1012</v>
      </c>
      <c r="B374" t="str">
        <f>_xlfn.IFNA(INDEX('Attandance Tracker'!$B$3:$B$30,MATCH($A374,'Attandance Tracker'!$A$3:$A$30,0)),"")</f>
        <v xml:space="preserve"> Simran</v>
      </c>
      <c r="C374" s="14" t="str">
        <f>_xlfn.IFNA(INDEX('Attandance Tracker'!$C$3:$C$30,MATCH($A374,'Attandance Tracker'!$A$3:$A$30,0)),"")</f>
        <v>IT</v>
      </c>
      <c r="D374" s="14">
        <v>30</v>
      </c>
      <c r="E374" s="7">
        <v>0.33333333333333331</v>
      </c>
      <c r="F374" s="7">
        <v>0.79166666666666663</v>
      </c>
      <c r="G374" s="7">
        <f t="shared" si="19"/>
        <v>0.33333333333333331</v>
      </c>
      <c r="H374" s="7">
        <f t="shared" si="20"/>
        <v>0.125</v>
      </c>
      <c r="I374" t="str">
        <f>IFERROR(IF(INDEX('Attandance Tracker'!$D$3:$AH$50,MATCH($A374,'Attandance Tracker'!$A$3:$A$50,0),DAY($D374))="P","Present",IF(INDEX('Attandance Tracker'!$D$3:$AH$50,MATCH($A374,'Attandance Tracker'!$A$3:$A$50,0),DAY($D374))="A","Absent","Leave")),"")</f>
        <v>Present</v>
      </c>
    </row>
    <row r="375" spans="1:9" x14ac:dyDescent="0.25">
      <c r="A375">
        <v>1012</v>
      </c>
      <c r="B375" t="str">
        <f>_xlfn.IFNA(INDEX('Attandance Tracker'!$B$3:$B$30,MATCH($A375,'Attandance Tracker'!$A$3:$A$30,0)),"")</f>
        <v xml:space="preserve"> Simran</v>
      </c>
      <c r="C375" s="14" t="str">
        <f>_xlfn.IFNA(INDEX('Attandance Tracker'!$C$3:$C$30,MATCH($A375,'Attandance Tracker'!$A$3:$A$30,0)),"")</f>
        <v>IT</v>
      </c>
      <c r="D375" s="14">
        <v>31</v>
      </c>
      <c r="E375" s="7">
        <v>0.33333333333333331</v>
      </c>
      <c r="F375" s="7">
        <v>0.83333333333333337</v>
      </c>
      <c r="G375" s="7">
        <f t="shared" si="19"/>
        <v>0.33333333333333331</v>
      </c>
      <c r="H375" s="7">
        <f t="shared" si="20"/>
        <v>0.16666666666666669</v>
      </c>
      <c r="I375" t="str">
        <f>IFERROR(IF(INDEX('Attandance Tracker'!$D$3:$AH$50,MATCH($A375,'Attandance Tracker'!$A$3:$A$50,0),DAY($D375))="P","Present",IF(INDEX('Attandance Tracker'!$D$3:$AH$50,MATCH($A375,'Attandance Tracker'!$A$3:$A$50,0),DAY($D375))="A","Absent","Leave")),"")</f>
        <v>Present</v>
      </c>
    </row>
    <row r="376" spans="1:9" x14ac:dyDescent="0.25">
      <c r="A376">
        <v>1013</v>
      </c>
      <c r="B376" t="str">
        <f>_xlfn.IFNA(INDEX('Attandance Tracker'!$B$3:$B$30,MATCH($A376,'Attandance Tracker'!$A$3:$A$30,0)),"")</f>
        <v xml:space="preserve"> Rahul</v>
      </c>
      <c r="C376" s="14" t="str">
        <f>_xlfn.IFNA(INDEX('Attandance Tracker'!$C$3:$C$30,MATCH($A376,'Attandance Tracker'!$A$3:$A$30,0)),"")</f>
        <v>IT</v>
      </c>
      <c r="D376" s="14">
        <v>1</v>
      </c>
      <c r="E376" s="7">
        <v>0.33333333333333331</v>
      </c>
      <c r="F376" s="7">
        <v>0.75</v>
      </c>
      <c r="G376" s="7">
        <f t="shared" si="19"/>
        <v>0.33333333333333331</v>
      </c>
      <c r="H376" s="7">
        <f t="shared" si="20"/>
        <v>8.333333333333337E-2</v>
      </c>
      <c r="I376" t="str">
        <f>IFERROR(IF(INDEX('Attandance Tracker'!$D$3:$AH$50,MATCH($A376,'Attandance Tracker'!$A$3:$A$50,0),DAY($D376))="P","Present",IF(INDEX('Attandance Tracker'!$D$3:$AH$50,MATCH($A376,'Attandance Tracker'!$A$3:$A$50,0),DAY($D376))="A","Absent","Leave")),"")</f>
        <v>Present</v>
      </c>
    </row>
    <row r="377" spans="1:9" x14ac:dyDescent="0.25">
      <c r="A377">
        <v>1013</v>
      </c>
      <c r="B377" t="str">
        <f>_xlfn.IFNA(INDEX('Attandance Tracker'!$B$3:$B$30,MATCH($A377,'Attandance Tracker'!$A$3:$A$30,0)),"")</f>
        <v xml:space="preserve"> Rahul</v>
      </c>
      <c r="C377" s="14" t="str">
        <f>_xlfn.IFNA(INDEX('Attandance Tracker'!$C$3:$C$30,MATCH($A377,'Attandance Tracker'!$A$3:$A$30,0)),"")</f>
        <v>IT</v>
      </c>
      <c r="D377" s="14">
        <v>2</v>
      </c>
      <c r="E377" s="7">
        <v>0.33333333333333331</v>
      </c>
      <c r="F377" s="7">
        <v>0.83333333333333337</v>
      </c>
      <c r="G377" s="7">
        <f t="shared" si="19"/>
        <v>0.33333333333333331</v>
      </c>
      <c r="H377" s="7">
        <f t="shared" si="20"/>
        <v>0.16666666666666669</v>
      </c>
      <c r="I377" t="str">
        <f>IFERROR(IF(INDEX('Attandance Tracker'!$D$3:$AH$50,MATCH($A377,'Attandance Tracker'!$A$3:$A$50,0),DAY($D377))="P","Present",IF(INDEX('Attandance Tracker'!$D$3:$AH$50,MATCH($A377,'Attandance Tracker'!$A$3:$A$50,0),DAY($D377))="A","Absent","Leave")),"")</f>
        <v>Present</v>
      </c>
    </row>
    <row r="378" spans="1:9" x14ac:dyDescent="0.25">
      <c r="A378">
        <v>1013</v>
      </c>
      <c r="B378" t="str">
        <f>_xlfn.IFNA(INDEX('Attandance Tracker'!$B$3:$B$30,MATCH($A378,'Attandance Tracker'!$A$3:$A$30,0)),"")</f>
        <v xml:space="preserve"> Rahul</v>
      </c>
      <c r="C378" s="14" t="str">
        <f>_xlfn.IFNA(INDEX('Attandance Tracker'!$C$3:$C$30,MATCH($A378,'Attandance Tracker'!$A$3:$A$30,0)),"")</f>
        <v>IT</v>
      </c>
      <c r="D378" s="14">
        <v>3</v>
      </c>
      <c r="E378" s="7">
        <v>0.33333333333333331</v>
      </c>
      <c r="F378" s="7">
        <v>0.83333333333333337</v>
      </c>
      <c r="G378" s="7">
        <f t="shared" si="19"/>
        <v>0.33333333333333331</v>
      </c>
      <c r="H378" s="7">
        <f t="shared" si="20"/>
        <v>0.16666666666666669</v>
      </c>
      <c r="I378" t="str">
        <f>IFERROR(IF(INDEX('Attandance Tracker'!$D$3:$AH$50,MATCH($A378,'Attandance Tracker'!$A$3:$A$50,0),DAY($D378))="P","Present",IF(INDEX('Attandance Tracker'!$D$3:$AH$50,MATCH($A378,'Attandance Tracker'!$A$3:$A$50,0),DAY($D378))="A","Absent","Leave")),"")</f>
        <v>Present</v>
      </c>
    </row>
    <row r="379" spans="1:9" x14ac:dyDescent="0.25">
      <c r="A379">
        <v>1013</v>
      </c>
      <c r="B379" t="str">
        <f>_xlfn.IFNA(INDEX('Attandance Tracker'!$B$3:$B$30,MATCH($A379,'Attandance Tracker'!$A$3:$A$30,0)),"")</f>
        <v xml:space="preserve"> Rahul</v>
      </c>
      <c r="C379" s="14" t="str">
        <f>_xlfn.IFNA(INDEX('Attandance Tracker'!$C$3:$C$30,MATCH($A379,'Attandance Tracker'!$A$3:$A$30,0)),"")</f>
        <v>IT</v>
      </c>
      <c r="D379" s="14">
        <v>4</v>
      </c>
      <c r="E379" s="7">
        <v>0.33333333333333331</v>
      </c>
      <c r="F379" s="7">
        <v>0.83333333333333337</v>
      </c>
      <c r="G379" s="7">
        <f t="shared" si="19"/>
        <v>0.33333333333333331</v>
      </c>
      <c r="H379" s="7">
        <f t="shared" si="20"/>
        <v>0.16666666666666669</v>
      </c>
      <c r="I379" t="str">
        <f>IFERROR(IF(INDEX('Attandance Tracker'!$D$3:$AH$50,MATCH($A379,'Attandance Tracker'!$A$3:$A$50,0),DAY($D379))="P","Present",IF(INDEX('Attandance Tracker'!$D$3:$AH$50,MATCH($A379,'Attandance Tracker'!$A$3:$A$50,0),DAY($D379))="A","Absent","Leave")),"")</f>
        <v>Present</v>
      </c>
    </row>
    <row r="380" spans="1:9" x14ac:dyDescent="0.25">
      <c r="A380">
        <v>1013</v>
      </c>
      <c r="B380" t="str">
        <f>_xlfn.IFNA(INDEX('Attandance Tracker'!$B$3:$B$30,MATCH($A380,'Attandance Tracker'!$A$3:$A$30,0)),"")</f>
        <v xml:space="preserve"> Rahul</v>
      </c>
      <c r="C380" s="14" t="str">
        <f>_xlfn.IFNA(INDEX('Attandance Tracker'!$C$3:$C$30,MATCH($A380,'Attandance Tracker'!$A$3:$A$30,0)),"")</f>
        <v>IT</v>
      </c>
      <c r="D380" s="14">
        <v>5</v>
      </c>
      <c r="E380" s="7">
        <v>0.375</v>
      </c>
      <c r="F380" s="7">
        <v>0.83333333333333337</v>
      </c>
      <c r="G380" s="7">
        <f t="shared" si="19"/>
        <v>0.33333333333333331</v>
      </c>
      <c r="H380" s="7">
        <f t="shared" si="20"/>
        <v>0.12500000000000006</v>
      </c>
      <c r="I380" t="str">
        <f>IFERROR(IF(INDEX('Attandance Tracker'!$D$3:$AH$50,MATCH($A380,'Attandance Tracker'!$A$3:$A$50,0),DAY($D380))="P","Present",IF(INDEX('Attandance Tracker'!$D$3:$AH$50,MATCH($A380,'Attandance Tracker'!$A$3:$A$50,0),DAY($D380))="A","Absent","Leave")),"")</f>
        <v>Present</v>
      </c>
    </row>
    <row r="381" spans="1:9" x14ac:dyDescent="0.25">
      <c r="A381">
        <v>1013</v>
      </c>
      <c r="B381" t="str">
        <f>_xlfn.IFNA(INDEX('Attandance Tracker'!$B$3:$B$30,MATCH($A381,'Attandance Tracker'!$A$3:$A$30,0)),"")</f>
        <v xml:space="preserve"> Rahul</v>
      </c>
      <c r="C381" s="14" t="str">
        <f>_xlfn.IFNA(INDEX('Attandance Tracker'!$C$3:$C$30,MATCH($A381,'Attandance Tracker'!$A$3:$A$30,0)),"")</f>
        <v>IT</v>
      </c>
      <c r="D381" s="14">
        <v>6</v>
      </c>
      <c r="E381" s="7">
        <v>0.375</v>
      </c>
      <c r="F381" s="17">
        <v>0.75</v>
      </c>
      <c r="G381" s="7">
        <f t="shared" si="19"/>
        <v>0.33333333333333331</v>
      </c>
      <c r="H381" s="7">
        <f t="shared" si="20"/>
        <v>4.1666666666666685E-2</v>
      </c>
      <c r="I381" t="str">
        <f>IFERROR(IF(INDEX('Attandance Tracker'!$D$3:$AH$50,MATCH($A381,'Attandance Tracker'!$A$3:$A$50,0),DAY($D381))="P","Present",IF(INDEX('Attandance Tracker'!$D$3:$AH$50,MATCH($A381,'Attandance Tracker'!$A$3:$A$50,0),DAY($D381))="A","Absent","Leave")),"")</f>
        <v>Present</v>
      </c>
    </row>
    <row r="382" spans="1:9" x14ac:dyDescent="0.25">
      <c r="A382">
        <v>1013</v>
      </c>
      <c r="B382" t="str">
        <f>_xlfn.IFNA(INDEX('Attandance Tracker'!$B$3:$B$30,MATCH($A382,'Attandance Tracker'!$A$3:$A$30,0)),"")</f>
        <v xml:space="preserve"> Rahul</v>
      </c>
      <c r="C382" s="14" t="str">
        <f>_xlfn.IFNA(INDEX('Attandance Tracker'!$C$3:$C$30,MATCH($A382,'Attandance Tracker'!$A$3:$A$30,0)),"")</f>
        <v>IT</v>
      </c>
      <c r="D382" s="14">
        <v>7</v>
      </c>
      <c r="E382" s="7">
        <v>0.375</v>
      </c>
      <c r="F382" s="7">
        <v>0.83333333333333337</v>
      </c>
      <c r="G382" s="7">
        <f t="shared" si="19"/>
        <v>0.33333333333333331</v>
      </c>
      <c r="H382" s="7">
        <f t="shared" si="20"/>
        <v>0.12500000000000006</v>
      </c>
      <c r="I382" t="str">
        <f>IFERROR(IF(INDEX('Attandance Tracker'!$D$3:$AH$50,MATCH($A382,'Attandance Tracker'!$A$3:$A$50,0),DAY($D382))="P","Present",IF(INDEX('Attandance Tracker'!$D$3:$AH$50,MATCH($A382,'Attandance Tracker'!$A$3:$A$50,0),DAY($D382))="A","Absent","Leave")),"")</f>
        <v>Present</v>
      </c>
    </row>
    <row r="383" spans="1:9" x14ac:dyDescent="0.25">
      <c r="A383">
        <v>1013</v>
      </c>
      <c r="B383" t="str">
        <f>_xlfn.IFNA(INDEX('Attandance Tracker'!$B$3:$B$30,MATCH($A383,'Attandance Tracker'!$A$3:$A$30,0)),"")</f>
        <v xml:space="preserve"> Rahul</v>
      </c>
      <c r="C383" s="14" t="str">
        <f>_xlfn.IFNA(INDEX('Attandance Tracker'!$C$3:$C$30,MATCH($A383,'Attandance Tracker'!$A$3:$A$30,0)),"")</f>
        <v>IT</v>
      </c>
      <c r="D383" s="14">
        <v>8</v>
      </c>
      <c r="E383" s="7">
        <v>0.33333333333333331</v>
      </c>
      <c r="F383" s="7">
        <v>0.79166666666666663</v>
      </c>
      <c r="G383" s="7">
        <f t="shared" si="19"/>
        <v>0.33333333333333331</v>
      </c>
      <c r="H383" s="7">
        <f t="shared" si="20"/>
        <v>0.125</v>
      </c>
      <c r="I383" t="str">
        <f>IFERROR(IF(INDEX('Attandance Tracker'!$D$3:$AH$50,MATCH($A383,'Attandance Tracker'!$A$3:$A$50,0),DAY($D383))="P","Present",IF(INDEX('Attandance Tracker'!$D$3:$AH$50,MATCH($A383,'Attandance Tracker'!$A$3:$A$50,0),DAY($D383))="A","Absent","Leave")),"")</f>
        <v>Present</v>
      </c>
    </row>
    <row r="384" spans="1:9" x14ac:dyDescent="0.25">
      <c r="A384">
        <v>1013</v>
      </c>
      <c r="B384" t="str">
        <f>_xlfn.IFNA(INDEX('Attandance Tracker'!$B$3:$B$30,MATCH($A384,'Attandance Tracker'!$A$3:$A$30,0)),"")</f>
        <v xml:space="preserve"> Rahul</v>
      </c>
      <c r="C384" s="14" t="str">
        <f>_xlfn.IFNA(INDEX('Attandance Tracker'!$C$3:$C$30,MATCH($A384,'Attandance Tracker'!$A$3:$A$30,0)),"")</f>
        <v>IT</v>
      </c>
      <c r="D384" s="14">
        <v>9</v>
      </c>
      <c r="E384" s="7">
        <v>0.375</v>
      </c>
      <c r="F384" s="7">
        <v>0.75</v>
      </c>
      <c r="G384" s="7">
        <f t="shared" si="19"/>
        <v>0.33333333333333331</v>
      </c>
      <c r="H384" s="7">
        <f t="shared" si="20"/>
        <v>4.1666666666666685E-2</v>
      </c>
      <c r="I384" t="str">
        <f>IFERROR(IF(INDEX('Attandance Tracker'!$D$3:$AH$50,MATCH($A384,'Attandance Tracker'!$A$3:$A$50,0),DAY($D384))="P","Present",IF(INDEX('Attandance Tracker'!$D$3:$AH$50,MATCH($A384,'Attandance Tracker'!$A$3:$A$50,0),DAY($D384))="A","Absent","Leave")),"")</f>
        <v>Present</v>
      </c>
    </row>
    <row r="385" spans="1:9" x14ac:dyDescent="0.25">
      <c r="A385">
        <v>1013</v>
      </c>
      <c r="B385" t="str">
        <f>_xlfn.IFNA(INDEX('Attandance Tracker'!$B$3:$B$30,MATCH($A385,'Attandance Tracker'!$A$3:$A$30,0)),"")</f>
        <v xml:space="preserve"> Rahul</v>
      </c>
      <c r="C385" s="14" t="str">
        <f>_xlfn.IFNA(INDEX('Attandance Tracker'!$C$3:$C$30,MATCH($A385,'Attandance Tracker'!$A$3:$A$30,0)),"")</f>
        <v>IT</v>
      </c>
      <c r="D385" s="14">
        <v>10</v>
      </c>
      <c r="E385" s="7">
        <v>0.33333333333333331</v>
      </c>
      <c r="F385" s="7">
        <v>0.83333333333333337</v>
      </c>
      <c r="G385" s="7">
        <f t="shared" si="19"/>
        <v>0.33333333333333331</v>
      </c>
      <c r="H385" s="7">
        <f t="shared" si="20"/>
        <v>0.16666666666666669</v>
      </c>
      <c r="I385" t="str">
        <f>IFERROR(IF(INDEX('Attandance Tracker'!$D$3:$AH$50,MATCH($A385,'Attandance Tracker'!$A$3:$A$50,0),DAY($D385))="P","Present",IF(INDEX('Attandance Tracker'!$D$3:$AH$50,MATCH($A385,'Attandance Tracker'!$A$3:$A$50,0),DAY($D385))="A","Absent","Leave")),"")</f>
        <v>Present</v>
      </c>
    </row>
    <row r="386" spans="1:9" x14ac:dyDescent="0.25">
      <c r="A386">
        <v>1013</v>
      </c>
      <c r="B386" t="str">
        <f>_xlfn.IFNA(INDEX('Attandance Tracker'!$B$3:$B$30,MATCH($A386,'Attandance Tracker'!$A$3:$A$30,0)),"")</f>
        <v xml:space="preserve"> Rahul</v>
      </c>
      <c r="C386" s="14" t="str">
        <f>_xlfn.IFNA(INDEX('Attandance Tracker'!$C$3:$C$30,MATCH($A386,'Attandance Tracker'!$A$3:$A$30,0)),"")</f>
        <v>IT</v>
      </c>
      <c r="D386" s="14">
        <v>11</v>
      </c>
      <c r="E386" s="7">
        <v>0.33333333333333331</v>
      </c>
      <c r="F386" s="7">
        <v>0.83333333333333337</v>
      </c>
      <c r="G386" s="7">
        <f t="shared" si="19"/>
        <v>0.33333333333333331</v>
      </c>
      <c r="H386" s="7">
        <f t="shared" si="20"/>
        <v>0.16666666666666669</v>
      </c>
      <c r="I386" t="str">
        <f>IFERROR(IF(INDEX('Attandance Tracker'!$D$3:$AH$50,MATCH($A386,'Attandance Tracker'!$A$3:$A$50,0),DAY($D386))="P","Present",IF(INDEX('Attandance Tracker'!$D$3:$AH$50,MATCH($A386,'Attandance Tracker'!$A$3:$A$50,0),DAY($D386))="A","Absent","Leave")),"")</f>
        <v>Present</v>
      </c>
    </row>
    <row r="387" spans="1:9" x14ac:dyDescent="0.25">
      <c r="A387">
        <v>1013</v>
      </c>
      <c r="B387" t="str">
        <f>_xlfn.IFNA(INDEX('Attandance Tracker'!$B$3:$B$30,MATCH($A387,'Attandance Tracker'!$A$3:$A$30,0)),"")</f>
        <v xml:space="preserve"> Rahul</v>
      </c>
      <c r="C387" s="14" t="str">
        <f>_xlfn.IFNA(INDEX('Attandance Tracker'!$C$3:$C$30,MATCH($A387,'Attandance Tracker'!$A$3:$A$30,0)),"")</f>
        <v>IT</v>
      </c>
      <c r="D387" s="14">
        <v>12</v>
      </c>
      <c r="E387" s="7">
        <v>0.375</v>
      </c>
      <c r="F387" s="7">
        <v>0.79166666666666663</v>
      </c>
      <c r="G387" s="7">
        <f t="shared" si="19"/>
        <v>0.33333333333333331</v>
      </c>
      <c r="H387" s="7">
        <f t="shared" si="20"/>
        <v>8.3333333333333315E-2</v>
      </c>
      <c r="I387" t="str">
        <f>IFERROR(IF(INDEX('Attandance Tracker'!$D$3:$AH$50,MATCH($A387,'Attandance Tracker'!$A$3:$A$50,0),DAY($D387))="P","Present",IF(INDEX('Attandance Tracker'!$D$3:$AH$50,MATCH($A387,'Attandance Tracker'!$A$3:$A$50,0),DAY($D387))="A","Absent","Leave")),"")</f>
        <v>Present</v>
      </c>
    </row>
    <row r="388" spans="1:9" x14ac:dyDescent="0.25">
      <c r="A388">
        <v>1013</v>
      </c>
      <c r="B388" t="str">
        <f>_xlfn.IFNA(INDEX('Attandance Tracker'!$B$3:$B$30,MATCH($A388,'Attandance Tracker'!$A$3:$A$30,0)),"")</f>
        <v xml:space="preserve"> Rahul</v>
      </c>
      <c r="C388" s="14" t="str">
        <f>_xlfn.IFNA(INDEX('Attandance Tracker'!$C$3:$C$30,MATCH($A388,'Attandance Tracker'!$A$3:$A$30,0)),"")</f>
        <v>IT</v>
      </c>
      <c r="D388" s="14">
        <v>13</v>
      </c>
      <c r="E388" s="7">
        <v>0.375</v>
      </c>
      <c r="F388" s="7">
        <v>0.83333333333333337</v>
      </c>
      <c r="G388" s="7">
        <f t="shared" si="19"/>
        <v>0.33333333333333331</v>
      </c>
      <c r="H388" s="7">
        <f t="shared" si="20"/>
        <v>0.12500000000000006</v>
      </c>
      <c r="I388" t="str">
        <f>IFERROR(IF(INDEX('Attandance Tracker'!$D$3:$AH$50,MATCH($A388,'Attandance Tracker'!$A$3:$A$50,0),DAY($D388))="P","Present",IF(INDEX('Attandance Tracker'!$D$3:$AH$50,MATCH($A388,'Attandance Tracker'!$A$3:$A$50,0),DAY($D388))="A","Absent","Leave")),"")</f>
        <v>Present</v>
      </c>
    </row>
    <row r="389" spans="1:9" x14ac:dyDescent="0.25">
      <c r="A389">
        <v>1013</v>
      </c>
      <c r="B389" t="str">
        <f>_xlfn.IFNA(INDEX('Attandance Tracker'!$B$3:$B$30,MATCH($A389,'Attandance Tracker'!$A$3:$A$30,0)),"")</f>
        <v xml:space="preserve"> Rahul</v>
      </c>
      <c r="C389" s="14" t="str">
        <f>_xlfn.IFNA(INDEX('Attandance Tracker'!$C$3:$C$30,MATCH($A389,'Attandance Tracker'!$A$3:$A$30,0)),"")</f>
        <v>IT</v>
      </c>
      <c r="D389" s="14">
        <v>14</v>
      </c>
      <c r="E389" s="7">
        <v>0.375</v>
      </c>
      <c r="F389" s="7">
        <v>0.83333333333333337</v>
      </c>
      <c r="G389" s="7">
        <f t="shared" ref="G389:G452" si="21">IF(I389="Present",MIN(F389-E389,8/24),IF(I389="Absent",8/24,0))</f>
        <v>0.33333333333333331</v>
      </c>
      <c r="H389" s="7">
        <f t="shared" ref="H389:H452" si="22">IF(I389="Present",MAX(0,F389-E389-8/24),0)</f>
        <v>0.12500000000000006</v>
      </c>
      <c r="I389" t="str">
        <f>IFERROR(IF(INDEX('Attandance Tracker'!$D$3:$AH$50,MATCH($A389,'Attandance Tracker'!$A$3:$A$50,0),DAY($D389))="P","Present",IF(INDEX('Attandance Tracker'!$D$3:$AH$50,MATCH($A389,'Attandance Tracker'!$A$3:$A$50,0),DAY($D389))="A","Absent","Leave")),"")</f>
        <v>Present</v>
      </c>
    </row>
    <row r="390" spans="1:9" x14ac:dyDescent="0.25">
      <c r="A390">
        <v>1013</v>
      </c>
      <c r="B390" t="str">
        <f>_xlfn.IFNA(INDEX('Attandance Tracker'!$B$3:$B$30,MATCH($A390,'Attandance Tracker'!$A$3:$A$30,0)),"")</f>
        <v xml:space="preserve"> Rahul</v>
      </c>
      <c r="C390" s="14" t="str">
        <f>_xlfn.IFNA(INDEX('Attandance Tracker'!$C$3:$C$30,MATCH($A390,'Attandance Tracker'!$A$3:$A$30,0)),"")</f>
        <v>IT</v>
      </c>
      <c r="D390" s="14">
        <v>15</v>
      </c>
      <c r="E390" s="7">
        <v>0.33333333333333331</v>
      </c>
      <c r="F390" s="7">
        <v>0.79166666666666663</v>
      </c>
      <c r="G390" s="7">
        <f t="shared" si="21"/>
        <v>0.33333333333333331</v>
      </c>
      <c r="H390" s="7">
        <f t="shared" si="22"/>
        <v>0.125</v>
      </c>
      <c r="I390" t="str">
        <f>IFERROR(IF(INDEX('Attandance Tracker'!$D$3:$AH$50,MATCH($A390,'Attandance Tracker'!$A$3:$A$50,0),DAY($D390))="P","Present",IF(INDEX('Attandance Tracker'!$D$3:$AH$50,MATCH($A390,'Attandance Tracker'!$A$3:$A$50,0),DAY($D390))="A","Absent","Leave")),"")</f>
        <v>Present</v>
      </c>
    </row>
    <row r="391" spans="1:9" x14ac:dyDescent="0.25">
      <c r="A391">
        <v>1013</v>
      </c>
      <c r="B391" t="str">
        <f>_xlfn.IFNA(INDEX('Attandance Tracker'!$B$3:$B$30,MATCH($A391,'Attandance Tracker'!$A$3:$A$30,0)),"")</f>
        <v xml:space="preserve"> Rahul</v>
      </c>
      <c r="C391" s="14" t="str">
        <f>_xlfn.IFNA(INDEX('Attandance Tracker'!$C$3:$C$30,MATCH($A391,'Attandance Tracker'!$A$3:$A$30,0)),"")</f>
        <v>IT</v>
      </c>
      <c r="D391" s="14">
        <v>16</v>
      </c>
      <c r="E391" s="7">
        <v>0.33333333333333331</v>
      </c>
      <c r="F391" s="7">
        <v>0.83333333333333337</v>
      </c>
      <c r="G391" s="7">
        <f t="shared" si="21"/>
        <v>0.33333333333333331</v>
      </c>
      <c r="H391" s="7">
        <f t="shared" si="22"/>
        <v>0.16666666666666669</v>
      </c>
      <c r="I391" t="str">
        <f>IFERROR(IF(INDEX('Attandance Tracker'!$D$3:$AH$50,MATCH($A391,'Attandance Tracker'!$A$3:$A$50,0),DAY($D391))="P","Present",IF(INDEX('Attandance Tracker'!$D$3:$AH$50,MATCH($A391,'Attandance Tracker'!$A$3:$A$50,0),DAY($D391))="A","Absent","Leave")),"")</f>
        <v>Present</v>
      </c>
    </row>
    <row r="392" spans="1:9" x14ac:dyDescent="0.25">
      <c r="A392">
        <v>1013</v>
      </c>
      <c r="B392" t="str">
        <f>_xlfn.IFNA(INDEX('Attandance Tracker'!$B$3:$B$30,MATCH($A392,'Attandance Tracker'!$A$3:$A$30,0)),"")</f>
        <v xml:space="preserve"> Rahul</v>
      </c>
      <c r="C392" s="14" t="str">
        <f>_xlfn.IFNA(INDEX('Attandance Tracker'!$C$3:$C$30,MATCH($A392,'Attandance Tracker'!$A$3:$A$30,0)),"")</f>
        <v>IT</v>
      </c>
      <c r="D392" s="14">
        <v>17</v>
      </c>
      <c r="E392" s="7">
        <v>0.33333333333333331</v>
      </c>
      <c r="F392" s="7">
        <v>0.75</v>
      </c>
      <c r="G392" s="7">
        <f t="shared" si="21"/>
        <v>0.33333333333333331</v>
      </c>
      <c r="H392" s="7">
        <f t="shared" si="22"/>
        <v>8.333333333333337E-2</v>
      </c>
      <c r="I392" t="str">
        <f>IFERROR(IF(INDEX('Attandance Tracker'!$D$3:$AH$50,MATCH($A392,'Attandance Tracker'!$A$3:$A$50,0),DAY($D392))="P","Present",IF(INDEX('Attandance Tracker'!$D$3:$AH$50,MATCH($A392,'Attandance Tracker'!$A$3:$A$50,0),DAY($D392))="A","Absent","Leave")),"")</f>
        <v>Present</v>
      </c>
    </row>
    <row r="393" spans="1:9" x14ac:dyDescent="0.25">
      <c r="A393">
        <v>1013</v>
      </c>
      <c r="B393" t="str">
        <f>_xlfn.IFNA(INDEX('Attandance Tracker'!$B$3:$B$30,MATCH($A393,'Attandance Tracker'!$A$3:$A$30,0)),"")</f>
        <v xml:space="preserve"> Rahul</v>
      </c>
      <c r="C393" s="14" t="str">
        <f>_xlfn.IFNA(INDEX('Attandance Tracker'!$C$3:$C$30,MATCH($A393,'Attandance Tracker'!$A$3:$A$30,0)),"")</f>
        <v>IT</v>
      </c>
      <c r="D393" s="14">
        <v>18</v>
      </c>
      <c r="E393" s="7">
        <v>0.33333333333333331</v>
      </c>
      <c r="F393" s="7">
        <v>0.83333333333333337</v>
      </c>
      <c r="G393" s="7">
        <f t="shared" si="21"/>
        <v>0.33333333333333331</v>
      </c>
      <c r="H393" s="7">
        <f t="shared" si="22"/>
        <v>0.16666666666666669</v>
      </c>
      <c r="I393" t="str">
        <f>IFERROR(IF(INDEX('Attandance Tracker'!$D$3:$AH$50,MATCH($A393,'Attandance Tracker'!$A$3:$A$50,0),DAY($D393))="P","Present",IF(INDEX('Attandance Tracker'!$D$3:$AH$50,MATCH($A393,'Attandance Tracker'!$A$3:$A$50,0),DAY($D393))="A","Absent","Leave")),"")</f>
        <v>Present</v>
      </c>
    </row>
    <row r="394" spans="1:9" x14ac:dyDescent="0.25">
      <c r="A394">
        <v>1013</v>
      </c>
      <c r="B394" t="str">
        <f>_xlfn.IFNA(INDEX('Attandance Tracker'!$B$3:$B$30,MATCH($A394,'Attandance Tracker'!$A$3:$A$30,0)),"")</f>
        <v xml:space="preserve"> Rahul</v>
      </c>
      <c r="C394" s="14" t="str">
        <f>_xlfn.IFNA(INDEX('Attandance Tracker'!$C$3:$C$30,MATCH($A394,'Attandance Tracker'!$A$3:$A$30,0)),"")</f>
        <v>IT</v>
      </c>
      <c r="D394" s="14">
        <v>19</v>
      </c>
      <c r="E394" s="7">
        <v>0.33333333333333331</v>
      </c>
      <c r="F394" s="7">
        <v>0.83333333333333337</v>
      </c>
      <c r="G394" s="7">
        <f t="shared" si="21"/>
        <v>0.33333333333333331</v>
      </c>
      <c r="H394" s="7">
        <f t="shared" si="22"/>
        <v>0.16666666666666669</v>
      </c>
      <c r="I394" t="str">
        <f>IFERROR(IF(INDEX('Attandance Tracker'!$D$3:$AH$50,MATCH($A394,'Attandance Tracker'!$A$3:$A$50,0),DAY($D394))="P","Present",IF(INDEX('Attandance Tracker'!$D$3:$AH$50,MATCH($A394,'Attandance Tracker'!$A$3:$A$50,0),DAY($D394))="A","Absent","Leave")),"")</f>
        <v>Present</v>
      </c>
    </row>
    <row r="395" spans="1:9" x14ac:dyDescent="0.25">
      <c r="A395">
        <v>1013</v>
      </c>
      <c r="B395" t="str">
        <f>_xlfn.IFNA(INDEX('Attandance Tracker'!$B$3:$B$30,MATCH($A395,'Attandance Tracker'!$A$3:$A$30,0)),"")</f>
        <v xml:space="preserve"> Rahul</v>
      </c>
      <c r="C395" s="14" t="str">
        <f>_xlfn.IFNA(INDEX('Attandance Tracker'!$C$3:$C$30,MATCH($A395,'Attandance Tracker'!$A$3:$A$30,0)),"")</f>
        <v>IT</v>
      </c>
      <c r="D395" s="14">
        <v>20</v>
      </c>
      <c r="E395" s="7">
        <v>0.33333333333333331</v>
      </c>
      <c r="F395" s="7">
        <v>0.83333333333333337</v>
      </c>
      <c r="G395" s="7">
        <f t="shared" si="21"/>
        <v>0.33333333333333331</v>
      </c>
      <c r="H395" s="7">
        <f t="shared" si="22"/>
        <v>0.16666666666666669</v>
      </c>
      <c r="I395" t="str">
        <f>IFERROR(IF(INDEX('Attandance Tracker'!$D$3:$AH$50,MATCH($A395,'Attandance Tracker'!$A$3:$A$50,0),DAY($D395))="P","Present",IF(INDEX('Attandance Tracker'!$D$3:$AH$50,MATCH($A395,'Attandance Tracker'!$A$3:$A$50,0),DAY($D395))="A","Absent","Leave")),"")</f>
        <v>Present</v>
      </c>
    </row>
    <row r="396" spans="1:9" x14ac:dyDescent="0.25">
      <c r="A396">
        <v>1013</v>
      </c>
      <c r="B396" t="str">
        <f>_xlfn.IFNA(INDEX('Attandance Tracker'!$B$3:$B$30,MATCH($A396,'Attandance Tracker'!$A$3:$A$30,0)),"")</f>
        <v xml:space="preserve"> Rahul</v>
      </c>
      <c r="C396" s="14" t="str">
        <f>_xlfn.IFNA(INDEX('Attandance Tracker'!$C$3:$C$30,MATCH($A396,'Attandance Tracker'!$A$3:$A$30,0)),"")</f>
        <v>IT</v>
      </c>
      <c r="D396" s="14">
        <v>21</v>
      </c>
      <c r="E396" s="7">
        <v>0.33333333333333331</v>
      </c>
      <c r="F396" s="7">
        <v>0.83333333333333337</v>
      </c>
      <c r="G396" s="7">
        <f t="shared" si="21"/>
        <v>0.33333333333333331</v>
      </c>
      <c r="H396" s="7">
        <f t="shared" si="22"/>
        <v>0.16666666666666669</v>
      </c>
      <c r="I396" t="str">
        <f>IFERROR(IF(INDEX('Attandance Tracker'!$D$3:$AH$50,MATCH($A396,'Attandance Tracker'!$A$3:$A$50,0),DAY($D396))="P","Present",IF(INDEX('Attandance Tracker'!$D$3:$AH$50,MATCH($A396,'Attandance Tracker'!$A$3:$A$50,0),DAY($D396))="A","Absent","Leave")),"")</f>
        <v>Present</v>
      </c>
    </row>
    <row r="397" spans="1:9" x14ac:dyDescent="0.25">
      <c r="A397">
        <v>1013</v>
      </c>
      <c r="B397" t="str">
        <f>_xlfn.IFNA(INDEX('Attandance Tracker'!$B$3:$B$30,MATCH($A397,'Attandance Tracker'!$A$3:$A$30,0)),"")</f>
        <v xml:space="preserve"> Rahul</v>
      </c>
      <c r="C397" s="14" t="str">
        <f>_xlfn.IFNA(INDEX('Attandance Tracker'!$C$3:$C$30,MATCH($A397,'Attandance Tracker'!$A$3:$A$30,0)),"")</f>
        <v>IT</v>
      </c>
      <c r="D397" s="14">
        <v>22</v>
      </c>
      <c r="E397" s="7">
        <v>0.375</v>
      </c>
      <c r="F397" s="7">
        <v>0.79166666666666663</v>
      </c>
      <c r="G397" s="7">
        <f t="shared" si="21"/>
        <v>0.33333333333333331</v>
      </c>
      <c r="H397" s="7">
        <f t="shared" si="22"/>
        <v>8.3333333333333315E-2</v>
      </c>
      <c r="I397" t="str">
        <f>IFERROR(IF(INDEX('Attandance Tracker'!$D$3:$AH$50,MATCH($A397,'Attandance Tracker'!$A$3:$A$50,0),DAY($D397))="P","Present",IF(INDEX('Attandance Tracker'!$D$3:$AH$50,MATCH($A397,'Attandance Tracker'!$A$3:$A$50,0),DAY($D397))="A","Absent","Leave")),"")</f>
        <v>Present</v>
      </c>
    </row>
    <row r="398" spans="1:9" x14ac:dyDescent="0.25">
      <c r="A398">
        <v>1013</v>
      </c>
      <c r="B398" t="str">
        <f>_xlfn.IFNA(INDEX('Attandance Tracker'!$B$3:$B$30,MATCH($A398,'Attandance Tracker'!$A$3:$A$30,0)),"")</f>
        <v xml:space="preserve"> Rahul</v>
      </c>
      <c r="C398" s="14" t="str">
        <f>_xlfn.IFNA(INDEX('Attandance Tracker'!$C$3:$C$30,MATCH($A398,'Attandance Tracker'!$A$3:$A$30,0)),"")</f>
        <v>IT</v>
      </c>
      <c r="D398" s="14">
        <v>23</v>
      </c>
      <c r="E398" s="7">
        <v>0.375</v>
      </c>
      <c r="F398" s="7">
        <v>0.83333333333333337</v>
      </c>
      <c r="G398" s="7">
        <f t="shared" si="21"/>
        <v>0.33333333333333331</v>
      </c>
      <c r="H398" s="7">
        <f t="shared" si="22"/>
        <v>0.12500000000000006</v>
      </c>
      <c r="I398" t="str">
        <f>IFERROR(IF(INDEX('Attandance Tracker'!$D$3:$AH$50,MATCH($A398,'Attandance Tracker'!$A$3:$A$50,0),DAY($D398))="P","Present",IF(INDEX('Attandance Tracker'!$D$3:$AH$50,MATCH($A398,'Attandance Tracker'!$A$3:$A$50,0),DAY($D398))="A","Absent","Leave")),"")</f>
        <v>Present</v>
      </c>
    </row>
    <row r="399" spans="1:9" x14ac:dyDescent="0.25">
      <c r="A399">
        <v>1013</v>
      </c>
      <c r="B399" t="str">
        <f>_xlfn.IFNA(INDEX('Attandance Tracker'!$B$3:$B$30,MATCH($A399,'Attandance Tracker'!$A$3:$A$30,0)),"")</f>
        <v xml:space="preserve"> Rahul</v>
      </c>
      <c r="C399" s="14" t="str">
        <f>_xlfn.IFNA(INDEX('Attandance Tracker'!$C$3:$C$30,MATCH($A399,'Attandance Tracker'!$A$3:$A$30,0)),"")</f>
        <v>IT</v>
      </c>
      <c r="D399" s="14">
        <v>24</v>
      </c>
      <c r="E399" s="7">
        <v>0.375</v>
      </c>
      <c r="F399" s="7">
        <v>0.75</v>
      </c>
      <c r="G399" s="7">
        <f t="shared" si="21"/>
        <v>0.33333333333333331</v>
      </c>
      <c r="H399" s="7">
        <f t="shared" si="22"/>
        <v>4.1666666666666685E-2</v>
      </c>
      <c r="I399" t="str">
        <f>IFERROR(IF(INDEX('Attandance Tracker'!$D$3:$AH$50,MATCH($A399,'Attandance Tracker'!$A$3:$A$50,0),DAY($D399))="P","Present",IF(INDEX('Attandance Tracker'!$D$3:$AH$50,MATCH($A399,'Attandance Tracker'!$A$3:$A$50,0),DAY($D399))="A","Absent","Leave")),"")</f>
        <v>Present</v>
      </c>
    </row>
    <row r="400" spans="1:9" x14ac:dyDescent="0.25">
      <c r="A400">
        <v>1013</v>
      </c>
      <c r="B400" t="str">
        <f>_xlfn.IFNA(INDEX('Attandance Tracker'!$B$3:$B$30,MATCH($A400,'Attandance Tracker'!$A$3:$A$30,0)),"")</f>
        <v xml:space="preserve"> Rahul</v>
      </c>
      <c r="C400" s="14" t="str">
        <f>_xlfn.IFNA(INDEX('Attandance Tracker'!$C$3:$C$30,MATCH($A400,'Attandance Tracker'!$A$3:$A$30,0)),"")</f>
        <v>IT</v>
      </c>
      <c r="D400" s="14">
        <v>25</v>
      </c>
      <c r="E400" s="7">
        <v>0.33333333333333331</v>
      </c>
      <c r="F400" s="7">
        <v>0.83333333333333337</v>
      </c>
      <c r="G400" s="7">
        <f t="shared" si="21"/>
        <v>0.33333333333333331</v>
      </c>
      <c r="H400" s="7">
        <f t="shared" si="22"/>
        <v>0.16666666666666669</v>
      </c>
      <c r="I400" t="str">
        <f>IFERROR(IF(INDEX('Attandance Tracker'!$D$3:$AH$50,MATCH($A400,'Attandance Tracker'!$A$3:$A$50,0),DAY($D400))="P","Present",IF(INDEX('Attandance Tracker'!$D$3:$AH$50,MATCH($A400,'Attandance Tracker'!$A$3:$A$50,0),DAY($D400))="A","Absent","Leave")),"")</f>
        <v>Present</v>
      </c>
    </row>
    <row r="401" spans="1:9" x14ac:dyDescent="0.25">
      <c r="A401">
        <v>1013</v>
      </c>
      <c r="B401" t="str">
        <f>_xlfn.IFNA(INDEX('Attandance Tracker'!$B$3:$B$30,MATCH($A401,'Attandance Tracker'!$A$3:$A$30,0)),"")</f>
        <v xml:space="preserve"> Rahul</v>
      </c>
      <c r="C401" s="14" t="str">
        <f>_xlfn.IFNA(INDEX('Attandance Tracker'!$C$3:$C$30,MATCH($A401,'Attandance Tracker'!$A$3:$A$30,0)),"")</f>
        <v>IT</v>
      </c>
      <c r="D401" s="14">
        <v>26</v>
      </c>
      <c r="E401" s="7">
        <v>0.33333333333333331</v>
      </c>
      <c r="F401" s="7">
        <v>0.83333333333333337</v>
      </c>
      <c r="G401" s="7">
        <f t="shared" si="21"/>
        <v>0.33333333333333331</v>
      </c>
      <c r="H401" s="7">
        <f t="shared" si="22"/>
        <v>0.16666666666666669</v>
      </c>
      <c r="I401" t="str">
        <f>IFERROR(IF(INDEX('Attandance Tracker'!$D$3:$AH$50,MATCH($A401,'Attandance Tracker'!$A$3:$A$50,0),DAY($D401))="P","Present",IF(INDEX('Attandance Tracker'!$D$3:$AH$50,MATCH($A401,'Attandance Tracker'!$A$3:$A$50,0),DAY($D401))="A","Absent","Leave")),"")</f>
        <v>Present</v>
      </c>
    </row>
    <row r="402" spans="1:9" x14ac:dyDescent="0.25">
      <c r="A402">
        <v>1013</v>
      </c>
      <c r="B402" t="str">
        <f>_xlfn.IFNA(INDEX('Attandance Tracker'!$B$3:$B$30,MATCH($A402,'Attandance Tracker'!$A$3:$A$30,0)),"")</f>
        <v xml:space="preserve"> Rahul</v>
      </c>
      <c r="C402" s="14" t="str">
        <f>_xlfn.IFNA(INDEX('Attandance Tracker'!$C$3:$C$30,MATCH($A402,'Attandance Tracker'!$A$3:$A$30,0)),"")</f>
        <v>IT</v>
      </c>
      <c r="D402" s="14">
        <v>27</v>
      </c>
      <c r="E402" s="7">
        <v>0.33333333333333331</v>
      </c>
      <c r="F402" s="7">
        <v>0.83333333333333337</v>
      </c>
      <c r="G402" s="7">
        <f t="shared" si="21"/>
        <v>0.33333333333333331</v>
      </c>
      <c r="H402" s="7">
        <f t="shared" si="22"/>
        <v>0.16666666666666669</v>
      </c>
      <c r="I402" t="str">
        <f>IFERROR(IF(INDEX('Attandance Tracker'!$D$3:$AH$50,MATCH($A402,'Attandance Tracker'!$A$3:$A$50,0),DAY($D402))="P","Present",IF(INDEX('Attandance Tracker'!$D$3:$AH$50,MATCH($A402,'Attandance Tracker'!$A$3:$A$50,0),DAY($D402))="A","Absent","Leave")),"")</f>
        <v>Present</v>
      </c>
    </row>
    <row r="403" spans="1:9" x14ac:dyDescent="0.25">
      <c r="A403">
        <v>1013</v>
      </c>
      <c r="B403" t="str">
        <f>_xlfn.IFNA(INDEX('Attandance Tracker'!$B$3:$B$30,MATCH($A403,'Attandance Tracker'!$A$3:$A$30,0)),"")</f>
        <v xml:space="preserve"> Rahul</v>
      </c>
      <c r="C403" s="14" t="str">
        <f>_xlfn.IFNA(INDEX('Attandance Tracker'!$C$3:$C$30,MATCH($A403,'Attandance Tracker'!$A$3:$A$30,0)),"")</f>
        <v>IT</v>
      </c>
      <c r="D403" s="14">
        <v>28</v>
      </c>
      <c r="E403" s="7">
        <v>0.33333333333333331</v>
      </c>
      <c r="F403" s="7">
        <v>0.79166666666666663</v>
      </c>
      <c r="G403" s="7">
        <f t="shared" si="21"/>
        <v>0.33333333333333331</v>
      </c>
      <c r="H403" s="7">
        <f t="shared" si="22"/>
        <v>0.125</v>
      </c>
      <c r="I403" t="str">
        <f>IFERROR(IF(INDEX('Attandance Tracker'!$D$3:$AH$50,MATCH($A403,'Attandance Tracker'!$A$3:$A$50,0),DAY($D403))="P","Present",IF(INDEX('Attandance Tracker'!$D$3:$AH$50,MATCH($A403,'Attandance Tracker'!$A$3:$A$50,0),DAY($D403))="A","Absent","Leave")),"")</f>
        <v>Present</v>
      </c>
    </row>
    <row r="404" spans="1:9" x14ac:dyDescent="0.25">
      <c r="A404">
        <v>1013</v>
      </c>
      <c r="B404" t="str">
        <f>_xlfn.IFNA(INDEX('Attandance Tracker'!$B$3:$B$30,MATCH($A404,'Attandance Tracker'!$A$3:$A$30,0)),"")</f>
        <v xml:space="preserve"> Rahul</v>
      </c>
      <c r="C404" s="14" t="str">
        <f>_xlfn.IFNA(INDEX('Attandance Tracker'!$C$3:$C$30,MATCH($A404,'Attandance Tracker'!$A$3:$A$30,0)),"")</f>
        <v>IT</v>
      </c>
      <c r="D404" s="14">
        <v>29</v>
      </c>
      <c r="E404" s="7">
        <v>0.33333333333333331</v>
      </c>
      <c r="F404" s="7">
        <v>0.83333333333333337</v>
      </c>
      <c r="G404" s="7">
        <f t="shared" si="21"/>
        <v>0.33333333333333331</v>
      </c>
      <c r="H404" s="7">
        <f t="shared" si="22"/>
        <v>0.16666666666666669</v>
      </c>
      <c r="I404" t="str">
        <f>IFERROR(IF(INDEX('Attandance Tracker'!$D$3:$AH$50,MATCH($A404,'Attandance Tracker'!$A$3:$A$50,0),DAY($D404))="P","Present",IF(INDEX('Attandance Tracker'!$D$3:$AH$50,MATCH($A404,'Attandance Tracker'!$A$3:$A$50,0),DAY($D404))="A","Absent","Leave")),"")</f>
        <v>Present</v>
      </c>
    </row>
    <row r="405" spans="1:9" x14ac:dyDescent="0.25">
      <c r="A405">
        <v>1013</v>
      </c>
      <c r="B405" t="str">
        <f>_xlfn.IFNA(INDEX('Attandance Tracker'!$B$3:$B$30,MATCH($A405,'Attandance Tracker'!$A$3:$A$30,0)),"")</f>
        <v xml:space="preserve"> Rahul</v>
      </c>
      <c r="C405" s="14" t="str">
        <f>_xlfn.IFNA(INDEX('Attandance Tracker'!$C$3:$C$30,MATCH($A405,'Attandance Tracker'!$A$3:$A$30,0)),"")</f>
        <v>IT</v>
      </c>
      <c r="D405" s="14">
        <v>30</v>
      </c>
      <c r="E405" s="7">
        <v>0.33333333333333331</v>
      </c>
      <c r="F405" s="7">
        <v>0.75</v>
      </c>
      <c r="G405" s="7">
        <f t="shared" si="21"/>
        <v>0.33333333333333331</v>
      </c>
      <c r="H405" s="7">
        <f t="shared" si="22"/>
        <v>8.333333333333337E-2</v>
      </c>
      <c r="I405" t="str">
        <f>IFERROR(IF(INDEX('Attandance Tracker'!$D$3:$AH$50,MATCH($A405,'Attandance Tracker'!$A$3:$A$50,0),DAY($D405))="P","Present",IF(INDEX('Attandance Tracker'!$D$3:$AH$50,MATCH($A405,'Attandance Tracker'!$A$3:$A$50,0),DAY($D405))="A","Absent","Leave")),"")</f>
        <v>Present</v>
      </c>
    </row>
    <row r="406" spans="1:9" x14ac:dyDescent="0.25">
      <c r="A406">
        <v>1013</v>
      </c>
      <c r="B406" t="str">
        <f>_xlfn.IFNA(INDEX('Attandance Tracker'!$B$3:$B$30,MATCH($A406,'Attandance Tracker'!$A$3:$A$30,0)),"")</f>
        <v xml:space="preserve"> Rahul</v>
      </c>
      <c r="C406" s="14" t="str">
        <f>_xlfn.IFNA(INDEX('Attandance Tracker'!$C$3:$C$30,MATCH($A406,'Attandance Tracker'!$A$3:$A$30,0)),"")</f>
        <v>IT</v>
      </c>
      <c r="D406" s="14">
        <v>31</v>
      </c>
      <c r="E406" s="7">
        <v>0.33333333333333331</v>
      </c>
      <c r="F406" s="7">
        <v>0.83333333333333337</v>
      </c>
      <c r="G406" s="7">
        <f t="shared" si="21"/>
        <v>0</v>
      </c>
      <c r="H406" s="7">
        <f t="shared" si="22"/>
        <v>0</v>
      </c>
      <c r="I406" t="str">
        <f>IFERROR(IF(INDEX('Attandance Tracker'!$D$3:$AH$50,MATCH($A406,'Attandance Tracker'!$A$3:$A$50,0),DAY($D406))="P","Present",IF(INDEX('Attandance Tracker'!$D$3:$AH$50,MATCH($A406,'Attandance Tracker'!$A$3:$A$50,0),DAY($D406))="A","Absent","Leave")),"")</f>
        <v>Leave</v>
      </c>
    </row>
    <row r="407" spans="1:9" x14ac:dyDescent="0.25">
      <c r="A407">
        <v>1014</v>
      </c>
      <c r="B407" t="str">
        <f>_xlfn.IFNA(INDEX('Attandance Tracker'!$B$3:$B$30,MATCH($A407,'Attandance Tracker'!$A$3:$A$30,0)),"")</f>
        <v xml:space="preserve"> Kavita</v>
      </c>
      <c r="C407" s="14" t="str">
        <f>_xlfn.IFNA(INDEX('Attandance Tracker'!$C$3:$C$30,MATCH($A407,'Attandance Tracker'!$A$3:$A$30,0)),"")</f>
        <v>IT</v>
      </c>
      <c r="D407" s="14">
        <v>1</v>
      </c>
      <c r="E407" s="7">
        <v>0.33333333333333331</v>
      </c>
      <c r="F407" s="7">
        <v>0.83333333333333337</v>
      </c>
      <c r="G407" s="7">
        <f t="shared" si="21"/>
        <v>0.33333333333333331</v>
      </c>
      <c r="H407" s="7">
        <f t="shared" si="22"/>
        <v>0.16666666666666669</v>
      </c>
      <c r="I407" t="str">
        <f>IFERROR(IF(INDEX('Attandance Tracker'!$D$3:$AH$50,MATCH($A407,'Attandance Tracker'!$A$3:$A$50,0),DAY($D407))="P","Present",IF(INDEX('Attandance Tracker'!$D$3:$AH$50,MATCH($A407,'Attandance Tracker'!$A$3:$A$50,0),DAY($D407))="A","Absent","Leave")),"")</f>
        <v>Present</v>
      </c>
    </row>
    <row r="408" spans="1:9" x14ac:dyDescent="0.25">
      <c r="A408">
        <v>1014</v>
      </c>
      <c r="B408" t="str">
        <f>_xlfn.IFNA(INDEX('Attandance Tracker'!$B$3:$B$30,MATCH($A408,'Attandance Tracker'!$A$3:$A$30,0)),"")</f>
        <v xml:space="preserve"> Kavita</v>
      </c>
      <c r="C408" s="14" t="str">
        <f>_xlfn.IFNA(INDEX('Attandance Tracker'!$C$3:$C$30,MATCH($A408,'Attandance Tracker'!$A$3:$A$30,0)),"")</f>
        <v>IT</v>
      </c>
      <c r="D408" s="14">
        <v>2</v>
      </c>
      <c r="E408" s="7">
        <v>0.33333333333333331</v>
      </c>
      <c r="F408" s="7">
        <v>0.83333333333333337</v>
      </c>
      <c r="G408" s="7">
        <f t="shared" si="21"/>
        <v>0.33333333333333331</v>
      </c>
      <c r="H408" s="7">
        <f t="shared" si="22"/>
        <v>0.16666666666666669</v>
      </c>
      <c r="I408" t="str">
        <f>IFERROR(IF(INDEX('Attandance Tracker'!$D$3:$AH$50,MATCH($A408,'Attandance Tracker'!$A$3:$A$50,0),DAY($D408))="P","Present",IF(INDEX('Attandance Tracker'!$D$3:$AH$50,MATCH($A408,'Attandance Tracker'!$A$3:$A$50,0),DAY($D408))="A","Absent","Leave")),"")</f>
        <v>Present</v>
      </c>
    </row>
    <row r="409" spans="1:9" x14ac:dyDescent="0.25">
      <c r="A409">
        <v>1014</v>
      </c>
      <c r="B409" t="str">
        <f>_xlfn.IFNA(INDEX('Attandance Tracker'!$B$3:$B$30,MATCH($A409,'Attandance Tracker'!$A$3:$A$30,0)),"")</f>
        <v xml:space="preserve"> Kavita</v>
      </c>
      <c r="C409" s="14" t="str">
        <f>_xlfn.IFNA(INDEX('Attandance Tracker'!$C$3:$C$30,MATCH($A409,'Attandance Tracker'!$A$3:$A$30,0)),"")</f>
        <v>IT</v>
      </c>
      <c r="D409" s="14">
        <v>3</v>
      </c>
      <c r="E409" s="7">
        <v>0.375</v>
      </c>
      <c r="F409" s="7">
        <v>0.83333333333333337</v>
      </c>
      <c r="G409" s="7">
        <f t="shared" si="21"/>
        <v>0.33333333333333331</v>
      </c>
      <c r="H409" s="7">
        <f t="shared" si="22"/>
        <v>0.12500000000000006</v>
      </c>
      <c r="I409" t="str">
        <f>IFERROR(IF(INDEX('Attandance Tracker'!$D$3:$AH$50,MATCH($A409,'Attandance Tracker'!$A$3:$A$50,0),DAY($D409))="P","Present",IF(INDEX('Attandance Tracker'!$D$3:$AH$50,MATCH($A409,'Attandance Tracker'!$A$3:$A$50,0),DAY($D409))="A","Absent","Leave")),"")</f>
        <v>Present</v>
      </c>
    </row>
    <row r="410" spans="1:9" x14ac:dyDescent="0.25">
      <c r="A410">
        <v>1014</v>
      </c>
      <c r="B410" t="str">
        <f>_xlfn.IFNA(INDEX('Attandance Tracker'!$B$3:$B$30,MATCH($A410,'Attandance Tracker'!$A$3:$A$30,0)),"")</f>
        <v xml:space="preserve"> Kavita</v>
      </c>
      <c r="C410" s="14" t="str">
        <f>_xlfn.IFNA(INDEX('Attandance Tracker'!$C$3:$C$30,MATCH($A410,'Attandance Tracker'!$A$3:$A$30,0)),"")</f>
        <v>IT</v>
      </c>
      <c r="D410" s="14">
        <v>4</v>
      </c>
      <c r="E410" s="7">
        <v>0.375</v>
      </c>
      <c r="F410" s="7">
        <v>0.83333333333333337</v>
      </c>
      <c r="G410" s="7">
        <f t="shared" si="21"/>
        <v>0.33333333333333331</v>
      </c>
      <c r="H410" s="7">
        <f t="shared" si="22"/>
        <v>0.12500000000000006</v>
      </c>
      <c r="I410" t="str">
        <f>IFERROR(IF(INDEX('Attandance Tracker'!$D$3:$AH$50,MATCH($A410,'Attandance Tracker'!$A$3:$A$50,0),DAY($D410))="P","Present",IF(INDEX('Attandance Tracker'!$D$3:$AH$50,MATCH($A410,'Attandance Tracker'!$A$3:$A$50,0),DAY($D410))="A","Absent","Leave")),"")</f>
        <v>Present</v>
      </c>
    </row>
    <row r="411" spans="1:9" x14ac:dyDescent="0.25">
      <c r="A411">
        <v>1014</v>
      </c>
      <c r="B411" t="str">
        <f>_xlfn.IFNA(INDEX('Attandance Tracker'!$B$3:$B$30,MATCH($A411,'Attandance Tracker'!$A$3:$A$30,0)),"")</f>
        <v xml:space="preserve"> Kavita</v>
      </c>
      <c r="C411" s="14" t="str">
        <f>_xlfn.IFNA(INDEX('Attandance Tracker'!$C$3:$C$30,MATCH($A411,'Attandance Tracker'!$A$3:$A$30,0)),"")</f>
        <v>IT</v>
      </c>
      <c r="D411" s="14">
        <v>5</v>
      </c>
      <c r="E411" s="7">
        <v>0.375</v>
      </c>
      <c r="F411" s="7">
        <v>0.79166666666666663</v>
      </c>
      <c r="G411" s="7">
        <f t="shared" si="21"/>
        <v>0.33333333333333331</v>
      </c>
      <c r="H411" s="7">
        <f t="shared" si="22"/>
        <v>8.3333333333333315E-2</v>
      </c>
      <c r="I411" t="str">
        <f>IFERROR(IF(INDEX('Attandance Tracker'!$D$3:$AH$50,MATCH($A411,'Attandance Tracker'!$A$3:$A$50,0),DAY($D411))="P","Present",IF(INDEX('Attandance Tracker'!$D$3:$AH$50,MATCH($A411,'Attandance Tracker'!$A$3:$A$50,0),DAY($D411))="A","Absent","Leave")),"")</f>
        <v>Present</v>
      </c>
    </row>
    <row r="412" spans="1:9" x14ac:dyDescent="0.25">
      <c r="A412">
        <v>1014</v>
      </c>
      <c r="B412" t="str">
        <f>_xlfn.IFNA(INDEX('Attandance Tracker'!$B$3:$B$30,MATCH($A412,'Attandance Tracker'!$A$3:$A$30,0)),"")</f>
        <v xml:space="preserve"> Kavita</v>
      </c>
      <c r="C412" s="14" t="str">
        <f>_xlfn.IFNA(INDEX('Attandance Tracker'!$C$3:$C$30,MATCH($A412,'Attandance Tracker'!$A$3:$A$30,0)),"")</f>
        <v>IT</v>
      </c>
      <c r="D412" s="14">
        <v>6</v>
      </c>
      <c r="E412" s="7">
        <v>0.33333333333333331</v>
      </c>
      <c r="F412" s="7">
        <v>0.83333333333333337</v>
      </c>
      <c r="G412" s="7">
        <f t="shared" si="21"/>
        <v>0.33333333333333331</v>
      </c>
      <c r="H412" s="7">
        <f t="shared" si="22"/>
        <v>0.16666666666666669</v>
      </c>
      <c r="I412" t="str">
        <f>IFERROR(IF(INDEX('Attandance Tracker'!$D$3:$AH$50,MATCH($A412,'Attandance Tracker'!$A$3:$A$50,0),DAY($D412))="P","Present",IF(INDEX('Attandance Tracker'!$D$3:$AH$50,MATCH($A412,'Attandance Tracker'!$A$3:$A$50,0),DAY($D412))="A","Absent","Leave")),"")</f>
        <v>Present</v>
      </c>
    </row>
    <row r="413" spans="1:9" x14ac:dyDescent="0.25">
      <c r="A413">
        <v>1014</v>
      </c>
      <c r="B413" t="str">
        <f>_xlfn.IFNA(INDEX('Attandance Tracker'!$B$3:$B$30,MATCH($A413,'Attandance Tracker'!$A$3:$A$30,0)),"")</f>
        <v xml:space="preserve"> Kavita</v>
      </c>
      <c r="C413" s="14" t="str">
        <f>_xlfn.IFNA(INDEX('Attandance Tracker'!$C$3:$C$30,MATCH($A413,'Attandance Tracker'!$A$3:$A$30,0)),"")</f>
        <v>IT</v>
      </c>
      <c r="D413" s="14">
        <v>7</v>
      </c>
      <c r="E413" s="7">
        <v>0.33333333333333331</v>
      </c>
      <c r="F413" s="7">
        <v>0.75</v>
      </c>
      <c r="G413" s="7">
        <f t="shared" si="21"/>
        <v>0.33333333333333331</v>
      </c>
      <c r="H413" s="7">
        <f t="shared" si="22"/>
        <v>8.333333333333337E-2</v>
      </c>
      <c r="I413" t="str">
        <f>IFERROR(IF(INDEX('Attandance Tracker'!$D$3:$AH$50,MATCH($A413,'Attandance Tracker'!$A$3:$A$50,0),DAY($D413))="P","Present",IF(INDEX('Attandance Tracker'!$D$3:$AH$50,MATCH($A413,'Attandance Tracker'!$A$3:$A$50,0),DAY($D413))="A","Absent","Leave")),"")</f>
        <v>Present</v>
      </c>
    </row>
    <row r="414" spans="1:9" x14ac:dyDescent="0.25">
      <c r="A414">
        <v>1014</v>
      </c>
      <c r="B414" t="str">
        <f>_xlfn.IFNA(INDEX('Attandance Tracker'!$B$3:$B$30,MATCH($A414,'Attandance Tracker'!$A$3:$A$30,0)),"")</f>
        <v xml:space="preserve"> Kavita</v>
      </c>
      <c r="C414" s="14" t="str">
        <f>_xlfn.IFNA(INDEX('Attandance Tracker'!$C$3:$C$30,MATCH($A414,'Attandance Tracker'!$A$3:$A$30,0)),"")</f>
        <v>IT</v>
      </c>
      <c r="D414" s="14">
        <v>8</v>
      </c>
      <c r="E414" s="7">
        <v>0.375</v>
      </c>
      <c r="F414" s="7">
        <v>0.83333333333333337</v>
      </c>
      <c r="G414" s="7">
        <f t="shared" si="21"/>
        <v>0.33333333333333331</v>
      </c>
      <c r="H414" s="7">
        <f t="shared" si="22"/>
        <v>0.12500000000000006</v>
      </c>
      <c r="I414" t="str">
        <f>IFERROR(IF(INDEX('Attandance Tracker'!$D$3:$AH$50,MATCH($A414,'Attandance Tracker'!$A$3:$A$50,0),DAY($D414))="P","Present",IF(INDEX('Attandance Tracker'!$D$3:$AH$50,MATCH($A414,'Attandance Tracker'!$A$3:$A$50,0),DAY($D414))="A","Absent","Leave")),"")</f>
        <v>Present</v>
      </c>
    </row>
    <row r="415" spans="1:9" x14ac:dyDescent="0.25">
      <c r="A415">
        <v>1014</v>
      </c>
      <c r="B415" t="str">
        <f>_xlfn.IFNA(INDEX('Attandance Tracker'!$B$3:$B$30,MATCH($A415,'Attandance Tracker'!$A$3:$A$30,0)),"")</f>
        <v xml:space="preserve"> Kavita</v>
      </c>
      <c r="C415" s="14" t="str">
        <f>_xlfn.IFNA(INDEX('Attandance Tracker'!$C$3:$C$30,MATCH($A415,'Attandance Tracker'!$A$3:$A$30,0)),"")</f>
        <v>IT</v>
      </c>
      <c r="D415" s="14">
        <v>9</v>
      </c>
      <c r="E415" s="7">
        <v>0.375</v>
      </c>
      <c r="F415" s="7">
        <v>0.83333333333333337</v>
      </c>
      <c r="G415" s="7">
        <f t="shared" si="21"/>
        <v>0.33333333333333331</v>
      </c>
      <c r="H415" s="7">
        <f t="shared" si="22"/>
        <v>0.12500000000000006</v>
      </c>
      <c r="I415" t="str">
        <f>IFERROR(IF(INDEX('Attandance Tracker'!$D$3:$AH$50,MATCH($A415,'Attandance Tracker'!$A$3:$A$50,0),DAY($D415))="P","Present",IF(INDEX('Attandance Tracker'!$D$3:$AH$50,MATCH($A415,'Attandance Tracker'!$A$3:$A$50,0),DAY($D415))="A","Absent","Leave")),"")</f>
        <v>Present</v>
      </c>
    </row>
    <row r="416" spans="1:9" x14ac:dyDescent="0.25">
      <c r="A416">
        <v>1014</v>
      </c>
      <c r="B416" t="str">
        <f>_xlfn.IFNA(INDEX('Attandance Tracker'!$B$3:$B$30,MATCH($A416,'Attandance Tracker'!$A$3:$A$30,0)),"")</f>
        <v xml:space="preserve"> Kavita</v>
      </c>
      <c r="C416" s="14" t="str">
        <f>_xlfn.IFNA(INDEX('Attandance Tracker'!$C$3:$C$30,MATCH($A416,'Attandance Tracker'!$A$3:$A$30,0)),"")</f>
        <v>IT</v>
      </c>
      <c r="D416" s="14">
        <v>10</v>
      </c>
      <c r="E416" s="7">
        <v>0.375</v>
      </c>
      <c r="F416" s="7">
        <v>0.83333333333333337</v>
      </c>
      <c r="G416" s="7">
        <f t="shared" si="21"/>
        <v>0.33333333333333331</v>
      </c>
      <c r="H416" s="7">
        <f t="shared" si="22"/>
        <v>0.12500000000000006</v>
      </c>
      <c r="I416" t="str">
        <f>IFERROR(IF(INDEX('Attandance Tracker'!$D$3:$AH$50,MATCH($A416,'Attandance Tracker'!$A$3:$A$50,0),DAY($D416))="P","Present",IF(INDEX('Attandance Tracker'!$D$3:$AH$50,MATCH($A416,'Attandance Tracker'!$A$3:$A$50,0),DAY($D416))="A","Absent","Leave")),"")</f>
        <v>Present</v>
      </c>
    </row>
    <row r="417" spans="1:9" x14ac:dyDescent="0.25">
      <c r="A417">
        <v>1014</v>
      </c>
      <c r="B417" t="str">
        <f>_xlfn.IFNA(INDEX('Attandance Tracker'!$B$3:$B$30,MATCH($A417,'Attandance Tracker'!$A$3:$A$30,0)),"")</f>
        <v xml:space="preserve"> Kavita</v>
      </c>
      <c r="C417" s="14" t="str">
        <f>_xlfn.IFNA(INDEX('Attandance Tracker'!$C$3:$C$30,MATCH($A417,'Attandance Tracker'!$A$3:$A$30,0)),"")</f>
        <v>IT</v>
      </c>
      <c r="D417" s="14">
        <v>11</v>
      </c>
      <c r="E417" s="7">
        <v>0.33333333333333331</v>
      </c>
      <c r="F417" s="7">
        <v>0.79166666666666663</v>
      </c>
      <c r="G417" s="7">
        <f t="shared" si="21"/>
        <v>0.33333333333333331</v>
      </c>
      <c r="H417" s="7">
        <f t="shared" si="22"/>
        <v>0.125</v>
      </c>
      <c r="I417" t="str">
        <f>IFERROR(IF(INDEX('Attandance Tracker'!$D$3:$AH$50,MATCH($A417,'Attandance Tracker'!$A$3:$A$50,0),DAY($D417))="P","Present",IF(INDEX('Attandance Tracker'!$D$3:$AH$50,MATCH($A417,'Attandance Tracker'!$A$3:$A$50,0),DAY($D417))="A","Absent","Leave")),"")</f>
        <v>Present</v>
      </c>
    </row>
    <row r="418" spans="1:9" x14ac:dyDescent="0.25">
      <c r="A418">
        <v>1014</v>
      </c>
      <c r="B418" t="str">
        <f>_xlfn.IFNA(INDEX('Attandance Tracker'!$B$3:$B$30,MATCH($A418,'Attandance Tracker'!$A$3:$A$30,0)),"")</f>
        <v xml:space="preserve"> Kavita</v>
      </c>
      <c r="C418" s="14" t="str">
        <f>_xlfn.IFNA(INDEX('Attandance Tracker'!$C$3:$C$30,MATCH($A418,'Attandance Tracker'!$A$3:$A$30,0)),"")</f>
        <v>IT</v>
      </c>
      <c r="D418" s="14">
        <v>12</v>
      </c>
      <c r="E418" s="7">
        <v>0.33333333333333331</v>
      </c>
      <c r="F418" s="7">
        <v>0.83333333333333337</v>
      </c>
      <c r="G418" s="7">
        <f t="shared" si="21"/>
        <v>0.33333333333333331</v>
      </c>
      <c r="H418" s="7">
        <f t="shared" si="22"/>
        <v>0.16666666666666669</v>
      </c>
      <c r="I418" t="str">
        <f>IFERROR(IF(INDEX('Attandance Tracker'!$D$3:$AH$50,MATCH($A418,'Attandance Tracker'!$A$3:$A$50,0),DAY($D418))="P","Present",IF(INDEX('Attandance Tracker'!$D$3:$AH$50,MATCH($A418,'Attandance Tracker'!$A$3:$A$50,0),DAY($D418))="A","Absent","Leave")),"")</f>
        <v>Present</v>
      </c>
    </row>
    <row r="419" spans="1:9" x14ac:dyDescent="0.25">
      <c r="A419">
        <v>1014</v>
      </c>
      <c r="B419" t="str">
        <f>_xlfn.IFNA(INDEX('Attandance Tracker'!$B$3:$B$30,MATCH($A419,'Attandance Tracker'!$A$3:$A$30,0)),"")</f>
        <v xml:space="preserve"> Kavita</v>
      </c>
      <c r="C419" s="14" t="str">
        <f>_xlfn.IFNA(INDEX('Attandance Tracker'!$C$3:$C$30,MATCH($A419,'Attandance Tracker'!$A$3:$A$30,0)),"")</f>
        <v>IT</v>
      </c>
      <c r="D419" s="14">
        <v>13</v>
      </c>
      <c r="E419" s="7">
        <v>0.33333333333333331</v>
      </c>
      <c r="F419" s="7">
        <v>0.75</v>
      </c>
      <c r="G419" s="7">
        <f t="shared" si="21"/>
        <v>0.33333333333333331</v>
      </c>
      <c r="H419" s="7">
        <f t="shared" si="22"/>
        <v>8.333333333333337E-2</v>
      </c>
      <c r="I419" t="str">
        <f>IFERROR(IF(INDEX('Attandance Tracker'!$D$3:$AH$50,MATCH($A419,'Attandance Tracker'!$A$3:$A$50,0),DAY($D419))="P","Present",IF(INDEX('Attandance Tracker'!$D$3:$AH$50,MATCH($A419,'Attandance Tracker'!$A$3:$A$50,0),DAY($D419))="A","Absent","Leave")),"")</f>
        <v>Present</v>
      </c>
    </row>
    <row r="420" spans="1:9" x14ac:dyDescent="0.25">
      <c r="A420">
        <v>1014</v>
      </c>
      <c r="B420" t="str">
        <f>_xlfn.IFNA(INDEX('Attandance Tracker'!$B$3:$B$30,MATCH($A420,'Attandance Tracker'!$A$3:$A$30,0)),"")</f>
        <v xml:space="preserve"> Kavita</v>
      </c>
      <c r="C420" s="14" t="str">
        <f>_xlfn.IFNA(INDEX('Attandance Tracker'!$C$3:$C$30,MATCH($A420,'Attandance Tracker'!$A$3:$A$30,0)),"")</f>
        <v>IT</v>
      </c>
      <c r="D420" s="14">
        <v>14</v>
      </c>
      <c r="E420" s="7">
        <v>0.33333333333333331</v>
      </c>
      <c r="F420" s="7">
        <v>0.83333333333333337</v>
      </c>
      <c r="G420" s="7">
        <f t="shared" si="21"/>
        <v>0.33333333333333331</v>
      </c>
      <c r="H420" s="7">
        <f t="shared" si="22"/>
        <v>0.16666666666666669</v>
      </c>
      <c r="I420" t="str">
        <f>IFERROR(IF(INDEX('Attandance Tracker'!$D$3:$AH$50,MATCH($A420,'Attandance Tracker'!$A$3:$A$50,0),DAY($D420))="P","Present",IF(INDEX('Attandance Tracker'!$D$3:$AH$50,MATCH($A420,'Attandance Tracker'!$A$3:$A$50,0),DAY($D420))="A","Absent","Leave")),"")</f>
        <v>Present</v>
      </c>
    </row>
    <row r="421" spans="1:9" x14ac:dyDescent="0.25">
      <c r="A421">
        <v>1014</v>
      </c>
      <c r="B421" t="str">
        <f>_xlfn.IFNA(INDEX('Attandance Tracker'!$B$3:$B$30,MATCH($A421,'Attandance Tracker'!$A$3:$A$30,0)),"")</f>
        <v xml:space="preserve"> Kavita</v>
      </c>
      <c r="C421" s="14" t="str">
        <f>_xlfn.IFNA(INDEX('Attandance Tracker'!$C$3:$C$30,MATCH($A421,'Attandance Tracker'!$A$3:$A$30,0)),"")</f>
        <v>IT</v>
      </c>
      <c r="D421" s="14">
        <v>15</v>
      </c>
      <c r="E421" s="7">
        <v>0.33333333333333331</v>
      </c>
      <c r="F421" s="7">
        <v>0.83333333333333337</v>
      </c>
      <c r="G421" s="7">
        <f t="shared" si="21"/>
        <v>0.33333333333333331</v>
      </c>
      <c r="H421" s="7">
        <f t="shared" si="22"/>
        <v>0.16666666666666669</v>
      </c>
      <c r="I421" t="str">
        <f>IFERROR(IF(INDEX('Attandance Tracker'!$D$3:$AH$50,MATCH($A421,'Attandance Tracker'!$A$3:$A$50,0),DAY($D421))="P","Present",IF(INDEX('Attandance Tracker'!$D$3:$AH$50,MATCH($A421,'Attandance Tracker'!$A$3:$A$50,0),DAY($D421))="A","Absent","Leave")),"")</f>
        <v>Present</v>
      </c>
    </row>
    <row r="422" spans="1:9" x14ac:dyDescent="0.25">
      <c r="A422">
        <v>1014</v>
      </c>
      <c r="B422" t="str">
        <f>_xlfn.IFNA(INDEX('Attandance Tracker'!$B$3:$B$30,MATCH($A422,'Attandance Tracker'!$A$3:$A$30,0)),"")</f>
        <v xml:space="preserve"> Kavita</v>
      </c>
      <c r="C422" s="14" t="str">
        <f>_xlfn.IFNA(INDEX('Attandance Tracker'!$C$3:$C$30,MATCH($A422,'Attandance Tracker'!$A$3:$A$30,0)),"")</f>
        <v>IT</v>
      </c>
      <c r="D422" s="14">
        <v>16</v>
      </c>
      <c r="E422" s="7">
        <v>0.33333333333333331</v>
      </c>
      <c r="F422" s="7">
        <v>0.83333333333333337</v>
      </c>
      <c r="G422" s="7">
        <f t="shared" si="21"/>
        <v>0.33333333333333331</v>
      </c>
      <c r="H422" s="7">
        <f t="shared" si="22"/>
        <v>0.16666666666666669</v>
      </c>
      <c r="I422" t="str">
        <f>IFERROR(IF(INDEX('Attandance Tracker'!$D$3:$AH$50,MATCH($A422,'Attandance Tracker'!$A$3:$A$50,0),DAY($D422))="P","Present",IF(INDEX('Attandance Tracker'!$D$3:$AH$50,MATCH($A422,'Attandance Tracker'!$A$3:$A$50,0),DAY($D422))="A","Absent","Leave")),"")</f>
        <v>Present</v>
      </c>
    </row>
    <row r="423" spans="1:9" x14ac:dyDescent="0.25">
      <c r="A423">
        <v>1014</v>
      </c>
      <c r="B423" t="str">
        <f>_xlfn.IFNA(INDEX('Attandance Tracker'!$B$3:$B$30,MATCH($A423,'Attandance Tracker'!$A$3:$A$30,0)),"")</f>
        <v xml:space="preserve"> Kavita</v>
      </c>
      <c r="C423" s="14" t="str">
        <f>_xlfn.IFNA(INDEX('Attandance Tracker'!$C$3:$C$30,MATCH($A423,'Attandance Tracker'!$A$3:$A$30,0)),"")</f>
        <v>IT</v>
      </c>
      <c r="D423" s="14">
        <v>17</v>
      </c>
      <c r="E423" s="7">
        <v>0.33333333333333331</v>
      </c>
      <c r="F423" s="7">
        <v>0.83333333333333337</v>
      </c>
      <c r="G423" s="7">
        <f t="shared" si="21"/>
        <v>0.33333333333333331</v>
      </c>
      <c r="H423" s="7">
        <f t="shared" si="22"/>
        <v>0.16666666666666669</v>
      </c>
      <c r="I423" t="str">
        <f>IFERROR(IF(INDEX('Attandance Tracker'!$D$3:$AH$50,MATCH($A423,'Attandance Tracker'!$A$3:$A$50,0),DAY($D423))="P","Present",IF(INDEX('Attandance Tracker'!$D$3:$AH$50,MATCH($A423,'Attandance Tracker'!$A$3:$A$50,0),DAY($D423))="A","Absent","Leave")),"")</f>
        <v>Present</v>
      </c>
    </row>
    <row r="424" spans="1:9" x14ac:dyDescent="0.25">
      <c r="A424">
        <v>1014</v>
      </c>
      <c r="B424" t="str">
        <f>_xlfn.IFNA(INDEX('Attandance Tracker'!$B$3:$B$30,MATCH($A424,'Attandance Tracker'!$A$3:$A$30,0)),"")</f>
        <v xml:space="preserve"> Kavita</v>
      </c>
      <c r="C424" s="14" t="str">
        <f>_xlfn.IFNA(INDEX('Attandance Tracker'!$C$3:$C$30,MATCH($A424,'Attandance Tracker'!$A$3:$A$30,0)),"")</f>
        <v>IT</v>
      </c>
      <c r="D424" s="14">
        <v>18</v>
      </c>
      <c r="E424" s="7">
        <v>0.375</v>
      </c>
      <c r="F424" s="7">
        <v>0.83333333333333337</v>
      </c>
      <c r="G424" s="7">
        <f t="shared" si="21"/>
        <v>0.33333333333333331</v>
      </c>
      <c r="H424" s="7">
        <f t="shared" si="22"/>
        <v>0.12500000000000006</v>
      </c>
      <c r="I424" t="str">
        <f>IFERROR(IF(INDEX('Attandance Tracker'!$D$3:$AH$50,MATCH($A424,'Attandance Tracker'!$A$3:$A$50,0),DAY($D424))="P","Present",IF(INDEX('Attandance Tracker'!$D$3:$AH$50,MATCH($A424,'Attandance Tracker'!$A$3:$A$50,0),DAY($D424))="A","Absent","Leave")),"")</f>
        <v>Present</v>
      </c>
    </row>
    <row r="425" spans="1:9" x14ac:dyDescent="0.25">
      <c r="A425">
        <v>1014</v>
      </c>
      <c r="B425" t="str">
        <f>_xlfn.IFNA(INDEX('Attandance Tracker'!$B$3:$B$30,MATCH($A425,'Attandance Tracker'!$A$3:$A$30,0)),"")</f>
        <v xml:space="preserve"> Kavita</v>
      </c>
      <c r="C425" s="14" t="str">
        <f>_xlfn.IFNA(INDEX('Attandance Tracker'!$C$3:$C$30,MATCH($A425,'Attandance Tracker'!$A$3:$A$30,0)),"")</f>
        <v>IT</v>
      </c>
      <c r="D425" s="14">
        <v>19</v>
      </c>
      <c r="E425" s="7">
        <v>0.375</v>
      </c>
      <c r="F425" s="7">
        <v>0.79166666666666663</v>
      </c>
      <c r="G425" s="7">
        <f t="shared" si="21"/>
        <v>0.33333333333333331</v>
      </c>
      <c r="H425" s="7">
        <f t="shared" si="22"/>
        <v>8.3333333333333315E-2</v>
      </c>
      <c r="I425" t="str">
        <f>IFERROR(IF(INDEX('Attandance Tracker'!$D$3:$AH$50,MATCH($A425,'Attandance Tracker'!$A$3:$A$50,0),DAY($D425))="P","Present",IF(INDEX('Attandance Tracker'!$D$3:$AH$50,MATCH($A425,'Attandance Tracker'!$A$3:$A$50,0),DAY($D425))="A","Absent","Leave")),"")</f>
        <v>Present</v>
      </c>
    </row>
    <row r="426" spans="1:9" x14ac:dyDescent="0.25">
      <c r="A426">
        <v>1014</v>
      </c>
      <c r="B426" t="str">
        <f>_xlfn.IFNA(INDEX('Attandance Tracker'!$B$3:$B$30,MATCH($A426,'Attandance Tracker'!$A$3:$A$30,0)),"")</f>
        <v xml:space="preserve"> Kavita</v>
      </c>
      <c r="C426" s="14" t="str">
        <f>_xlfn.IFNA(INDEX('Attandance Tracker'!$C$3:$C$30,MATCH($A426,'Attandance Tracker'!$A$3:$A$30,0)),"")</f>
        <v>IT</v>
      </c>
      <c r="D426" s="14">
        <v>20</v>
      </c>
      <c r="E426" s="7">
        <v>0.375</v>
      </c>
      <c r="F426" s="7">
        <v>0.83333333333333337</v>
      </c>
      <c r="G426" s="7">
        <f t="shared" si="21"/>
        <v>0.33333333333333331</v>
      </c>
      <c r="H426" s="7">
        <f t="shared" si="22"/>
        <v>0.12500000000000006</v>
      </c>
      <c r="I426" t="str">
        <f>IFERROR(IF(INDEX('Attandance Tracker'!$D$3:$AH$50,MATCH($A426,'Attandance Tracker'!$A$3:$A$50,0),DAY($D426))="P","Present",IF(INDEX('Attandance Tracker'!$D$3:$AH$50,MATCH($A426,'Attandance Tracker'!$A$3:$A$50,0),DAY($D426))="A","Absent","Leave")),"")</f>
        <v>Present</v>
      </c>
    </row>
    <row r="427" spans="1:9" x14ac:dyDescent="0.25">
      <c r="A427">
        <v>1014</v>
      </c>
      <c r="B427" t="str">
        <f>_xlfn.IFNA(INDEX('Attandance Tracker'!$B$3:$B$30,MATCH($A427,'Attandance Tracker'!$A$3:$A$30,0)),"")</f>
        <v xml:space="preserve"> Kavita</v>
      </c>
      <c r="C427" s="14" t="str">
        <f>_xlfn.IFNA(INDEX('Attandance Tracker'!$C$3:$C$30,MATCH($A427,'Attandance Tracker'!$A$3:$A$30,0)),"")</f>
        <v>IT</v>
      </c>
      <c r="D427" s="14">
        <v>21</v>
      </c>
      <c r="E427" s="7">
        <v>0.33333333333333331</v>
      </c>
      <c r="F427" s="7">
        <v>0.75</v>
      </c>
      <c r="G427" s="7">
        <f t="shared" si="21"/>
        <v>0.33333333333333331</v>
      </c>
      <c r="H427" s="7">
        <f t="shared" si="22"/>
        <v>8.333333333333337E-2</v>
      </c>
      <c r="I427" t="str">
        <f>IFERROR(IF(INDEX('Attandance Tracker'!$D$3:$AH$50,MATCH($A427,'Attandance Tracker'!$A$3:$A$50,0),DAY($D427))="P","Present",IF(INDEX('Attandance Tracker'!$D$3:$AH$50,MATCH($A427,'Attandance Tracker'!$A$3:$A$50,0),DAY($D427))="A","Absent","Leave")),"")</f>
        <v>Present</v>
      </c>
    </row>
    <row r="428" spans="1:9" x14ac:dyDescent="0.25">
      <c r="A428">
        <v>1014</v>
      </c>
      <c r="B428" t="str">
        <f>_xlfn.IFNA(INDEX('Attandance Tracker'!$B$3:$B$30,MATCH($A428,'Attandance Tracker'!$A$3:$A$30,0)),"")</f>
        <v xml:space="preserve"> Kavita</v>
      </c>
      <c r="C428" s="14" t="str">
        <f>_xlfn.IFNA(INDEX('Attandance Tracker'!$C$3:$C$30,MATCH($A428,'Attandance Tracker'!$A$3:$A$30,0)),"")</f>
        <v>IT</v>
      </c>
      <c r="D428" s="14">
        <v>22</v>
      </c>
      <c r="E428" s="7">
        <v>0.375</v>
      </c>
      <c r="F428" s="7">
        <v>0.83333333333333337</v>
      </c>
      <c r="G428" s="7">
        <f t="shared" si="21"/>
        <v>0.33333333333333331</v>
      </c>
      <c r="H428" s="7">
        <f t="shared" si="22"/>
        <v>0.12500000000000006</v>
      </c>
      <c r="I428" t="str">
        <f>IFERROR(IF(INDEX('Attandance Tracker'!$D$3:$AH$50,MATCH($A428,'Attandance Tracker'!$A$3:$A$50,0),DAY($D428))="P","Present",IF(INDEX('Attandance Tracker'!$D$3:$AH$50,MATCH($A428,'Attandance Tracker'!$A$3:$A$50,0),DAY($D428))="A","Absent","Leave")),"")</f>
        <v>Present</v>
      </c>
    </row>
    <row r="429" spans="1:9" x14ac:dyDescent="0.25">
      <c r="A429">
        <v>1014</v>
      </c>
      <c r="B429" t="str">
        <f>_xlfn.IFNA(INDEX('Attandance Tracker'!$B$3:$B$30,MATCH($A429,'Attandance Tracker'!$A$3:$A$30,0)),"")</f>
        <v xml:space="preserve"> Kavita</v>
      </c>
      <c r="C429" s="14" t="str">
        <f>_xlfn.IFNA(INDEX('Attandance Tracker'!$C$3:$C$30,MATCH($A429,'Attandance Tracker'!$A$3:$A$30,0)),"")</f>
        <v>IT</v>
      </c>
      <c r="D429" s="14">
        <v>23</v>
      </c>
      <c r="E429" s="7">
        <v>0.375</v>
      </c>
      <c r="F429" s="7">
        <v>0.83333333333333337</v>
      </c>
      <c r="G429" s="7">
        <f t="shared" si="21"/>
        <v>0.33333333333333331</v>
      </c>
      <c r="H429" s="7">
        <f t="shared" si="22"/>
        <v>0.12500000000000006</v>
      </c>
      <c r="I429" t="str">
        <f>IFERROR(IF(INDEX('Attandance Tracker'!$D$3:$AH$50,MATCH($A429,'Attandance Tracker'!$A$3:$A$50,0),DAY($D429))="P","Present",IF(INDEX('Attandance Tracker'!$D$3:$AH$50,MATCH($A429,'Attandance Tracker'!$A$3:$A$50,0),DAY($D429))="A","Absent","Leave")),"")</f>
        <v>Present</v>
      </c>
    </row>
    <row r="430" spans="1:9" x14ac:dyDescent="0.25">
      <c r="A430">
        <v>1014</v>
      </c>
      <c r="B430" t="str">
        <f>_xlfn.IFNA(INDEX('Attandance Tracker'!$B$3:$B$30,MATCH($A430,'Attandance Tracker'!$A$3:$A$30,0)),"")</f>
        <v xml:space="preserve"> Kavita</v>
      </c>
      <c r="C430" s="14" t="str">
        <f>_xlfn.IFNA(INDEX('Attandance Tracker'!$C$3:$C$30,MATCH($A430,'Attandance Tracker'!$A$3:$A$30,0)),"")</f>
        <v>IT</v>
      </c>
      <c r="D430" s="14">
        <v>24</v>
      </c>
      <c r="E430" s="7">
        <v>0.375</v>
      </c>
      <c r="F430" s="7">
        <v>0.83333333333333337</v>
      </c>
      <c r="G430" s="7">
        <f t="shared" si="21"/>
        <v>0.33333333333333331</v>
      </c>
      <c r="H430" s="7">
        <f t="shared" si="22"/>
        <v>0.12500000000000006</v>
      </c>
      <c r="I430" t="str">
        <f>IFERROR(IF(INDEX('Attandance Tracker'!$D$3:$AH$50,MATCH($A430,'Attandance Tracker'!$A$3:$A$50,0),DAY($D430))="P","Present",IF(INDEX('Attandance Tracker'!$D$3:$AH$50,MATCH($A430,'Attandance Tracker'!$A$3:$A$50,0),DAY($D430))="A","Absent","Leave")),"")</f>
        <v>Present</v>
      </c>
    </row>
    <row r="431" spans="1:9" x14ac:dyDescent="0.25">
      <c r="A431">
        <v>1014</v>
      </c>
      <c r="B431" t="str">
        <f>_xlfn.IFNA(INDEX('Attandance Tracker'!$B$3:$B$30,MATCH($A431,'Attandance Tracker'!$A$3:$A$30,0)),"")</f>
        <v xml:space="preserve"> Kavita</v>
      </c>
      <c r="C431" s="14" t="str">
        <f>_xlfn.IFNA(INDEX('Attandance Tracker'!$C$3:$C$30,MATCH($A431,'Attandance Tracker'!$A$3:$A$30,0)),"")</f>
        <v>IT</v>
      </c>
      <c r="D431" s="14">
        <v>25</v>
      </c>
      <c r="E431" s="7">
        <v>0.33333333333333331</v>
      </c>
      <c r="F431" s="7">
        <v>0.79166666666666663</v>
      </c>
      <c r="G431" s="7">
        <f t="shared" si="21"/>
        <v>0.33333333333333331</v>
      </c>
      <c r="H431" s="7">
        <f t="shared" si="22"/>
        <v>0.125</v>
      </c>
      <c r="I431" t="str">
        <f>IFERROR(IF(INDEX('Attandance Tracker'!$D$3:$AH$50,MATCH($A431,'Attandance Tracker'!$A$3:$A$50,0),DAY($D431))="P","Present",IF(INDEX('Attandance Tracker'!$D$3:$AH$50,MATCH($A431,'Attandance Tracker'!$A$3:$A$50,0),DAY($D431))="A","Absent","Leave")),"")</f>
        <v>Present</v>
      </c>
    </row>
    <row r="432" spans="1:9" x14ac:dyDescent="0.25">
      <c r="A432">
        <v>1014</v>
      </c>
      <c r="B432" t="str">
        <f>_xlfn.IFNA(INDEX('Attandance Tracker'!$B$3:$B$30,MATCH($A432,'Attandance Tracker'!$A$3:$A$30,0)),"")</f>
        <v xml:space="preserve"> Kavita</v>
      </c>
      <c r="C432" s="14" t="str">
        <f>_xlfn.IFNA(INDEX('Attandance Tracker'!$C$3:$C$30,MATCH($A432,'Attandance Tracker'!$A$3:$A$30,0)),"")</f>
        <v>IT</v>
      </c>
      <c r="D432" s="14">
        <v>26</v>
      </c>
      <c r="E432" s="7">
        <v>0.33333333333333331</v>
      </c>
      <c r="F432" s="7">
        <v>0.83333333333333337</v>
      </c>
      <c r="G432" s="7">
        <f t="shared" si="21"/>
        <v>0.33333333333333331</v>
      </c>
      <c r="H432" s="7">
        <f t="shared" si="22"/>
        <v>0.16666666666666669</v>
      </c>
      <c r="I432" t="str">
        <f>IFERROR(IF(INDEX('Attandance Tracker'!$D$3:$AH$50,MATCH($A432,'Attandance Tracker'!$A$3:$A$50,0),DAY($D432))="P","Present",IF(INDEX('Attandance Tracker'!$D$3:$AH$50,MATCH($A432,'Attandance Tracker'!$A$3:$A$50,0),DAY($D432))="A","Absent","Leave")),"")</f>
        <v>Present</v>
      </c>
    </row>
    <row r="433" spans="1:9" x14ac:dyDescent="0.25">
      <c r="A433">
        <v>1014</v>
      </c>
      <c r="B433" t="str">
        <f>_xlfn.IFNA(INDEX('Attandance Tracker'!$B$3:$B$30,MATCH($A433,'Attandance Tracker'!$A$3:$A$30,0)),"")</f>
        <v xml:space="preserve"> Kavita</v>
      </c>
      <c r="C433" s="14" t="str">
        <f>_xlfn.IFNA(INDEX('Attandance Tracker'!$C$3:$C$30,MATCH($A433,'Attandance Tracker'!$A$3:$A$30,0)),"")</f>
        <v>IT</v>
      </c>
      <c r="D433" s="14">
        <v>27</v>
      </c>
      <c r="E433" s="7">
        <v>0.375</v>
      </c>
      <c r="F433" s="7">
        <v>0.75</v>
      </c>
      <c r="G433" s="7">
        <f t="shared" si="21"/>
        <v>0.33333333333333331</v>
      </c>
      <c r="H433" s="7">
        <f t="shared" si="22"/>
        <v>4.1666666666666685E-2</v>
      </c>
      <c r="I433" t="str">
        <f>IFERROR(IF(INDEX('Attandance Tracker'!$D$3:$AH$50,MATCH($A433,'Attandance Tracker'!$A$3:$A$50,0),DAY($D433))="P","Present",IF(INDEX('Attandance Tracker'!$D$3:$AH$50,MATCH($A433,'Attandance Tracker'!$A$3:$A$50,0),DAY($D433))="A","Absent","Leave")),"")</f>
        <v>Present</v>
      </c>
    </row>
    <row r="434" spans="1:9" x14ac:dyDescent="0.25">
      <c r="A434">
        <v>1014</v>
      </c>
      <c r="B434" t="str">
        <f>_xlfn.IFNA(INDEX('Attandance Tracker'!$B$3:$B$30,MATCH($A434,'Attandance Tracker'!$A$3:$A$30,0)),"")</f>
        <v xml:space="preserve"> Kavita</v>
      </c>
      <c r="C434" s="14" t="str">
        <f>_xlfn.IFNA(INDEX('Attandance Tracker'!$C$3:$C$30,MATCH($A434,'Attandance Tracker'!$A$3:$A$30,0)),"")</f>
        <v>IT</v>
      </c>
      <c r="D434" s="14">
        <v>28</v>
      </c>
      <c r="E434" s="7">
        <v>0.375</v>
      </c>
      <c r="F434" s="7">
        <v>0.83333333333333337</v>
      </c>
      <c r="G434" s="7">
        <f t="shared" si="21"/>
        <v>0.33333333333333331</v>
      </c>
      <c r="H434" s="7">
        <f t="shared" si="22"/>
        <v>0.12500000000000006</v>
      </c>
      <c r="I434" t="str">
        <f>IFERROR(IF(INDEX('Attandance Tracker'!$D$3:$AH$50,MATCH($A434,'Attandance Tracker'!$A$3:$A$50,0),DAY($D434))="P","Present",IF(INDEX('Attandance Tracker'!$D$3:$AH$50,MATCH($A434,'Attandance Tracker'!$A$3:$A$50,0),DAY($D434))="A","Absent","Leave")),"")</f>
        <v>Present</v>
      </c>
    </row>
    <row r="435" spans="1:9" x14ac:dyDescent="0.25">
      <c r="A435">
        <v>1014</v>
      </c>
      <c r="B435" t="str">
        <f>_xlfn.IFNA(INDEX('Attandance Tracker'!$B$3:$B$30,MATCH($A435,'Attandance Tracker'!$A$3:$A$30,0)),"")</f>
        <v xml:space="preserve"> Kavita</v>
      </c>
      <c r="C435" s="14" t="str">
        <f>_xlfn.IFNA(INDEX('Attandance Tracker'!$C$3:$C$30,MATCH($A435,'Attandance Tracker'!$A$3:$A$30,0)),"")</f>
        <v>IT</v>
      </c>
      <c r="D435" s="14">
        <v>29</v>
      </c>
      <c r="E435" s="7">
        <v>0.375</v>
      </c>
      <c r="F435" s="7">
        <v>0.83333333333333337</v>
      </c>
      <c r="G435" s="7">
        <f t="shared" si="21"/>
        <v>0.33333333333333331</v>
      </c>
      <c r="H435" s="7">
        <f t="shared" si="22"/>
        <v>0.12500000000000006</v>
      </c>
      <c r="I435" t="str">
        <f>IFERROR(IF(INDEX('Attandance Tracker'!$D$3:$AH$50,MATCH($A435,'Attandance Tracker'!$A$3:$A$50,0),DAY($D435))="P","Present",IF(INDEX('Attandance Tracker'!$D$3:$AH$50,MATCH($A435,'Attandance Tracker'!$A$3:$A$50,0),DAY($D435))="A","Absent","Leave")),"")</f>
        <v>Present</v>
      </c>
    </row>
    <row r="436" spans="1:9" x14ac:dyDescent="0.25">
      <c r="A436">
        <v>1014</v>
      </c>
      <c r="B436" t="str">
        <f>_xlfn.IFNA(INDEX('Attandance Tracker'!$B$3:$B$30,MATCH($A436,'Attandance Tracker'!$A$3:$A$30,0)),"")</f>
        <v xml:space="preserve"> Kavita</v>
      </c>
      <c r="C436" s="14" t="str">
        <f>_xlfn.IFNA(INDEX('Attandance Tracker'!$C$3:$C$30,MATCH($A436,'Attandance Tracker'!$A$3:$A$30,0)),"")</f>
        <v>IT</v>
      </c>
      <c r="D436" s="14">
        <v>30</v>
      </c>
      <c r="E436" s="7">
        <v>0.33333333333333331</v>
      </c>
      <c r="F436" s="7">
        <v>0.79166666666666663</v>
      </c>
      <c r="G436" s="7">
        <f t="shared" si="21"/>
        <v>0.33333333333333331</v>
      </c>
      <c r="H436" s="7">
        <f t="shared" si="22"/>
        <v>0.125</v>
      </c>
      <c r="I436" t="str">
        <f>IFERROR(IF(INDEX('Attandance Tracker'!$D$3:$AH$50,MATCH($A436,'Attandance Tracker'!$A$3:$A$50,0),DAY($D436))="P","Present",IF(INDEX('Attandance Tracker'!$D$3:$AH$50,MATCH($A436,'Attandance Tracker'!$A$3:$A$50,0),DAY($D436))="A","Absent","Leave")),"")</f>
        <v>Present</v>
      </c>
    </row>
    <row r="437" spans="1:9" x14ac:dyDescent="0.25">
      <c r="A437">
        <v>1014</v>
      </c>
      <c r="B437" t="str">
        <f>_xlfn.IFNA(INDEX('Attandance Tracker'!$B$3:$B$30,MATCH($A437,'Attandance Tracker'!$A$3:$A$30,0)),"")</f>
        <v xml:space="preserve"> Kavita</v>
      </c>
      <c r="C437" s="14" t="str">
        <f>_xlfn.IFNA(INDEX('Attandance Tracker'!$C$3:$C$30,MATCH($A437,'Attandance Tracker'!$A$3:$A$30,0)),"")</f>
        <v>IT</v>
      </c>
      <c r="D437" s="14">
        <v>31</v>
      </c>
      <c r="E437" s="7">
        <v>0.33333333333333331</v>
      </c>
      <c r="F437" s="7">
        <v>0.83333333333333337</v>
      </c>
      <c r="G437" s="7">
        <f t="shared" si="21"/>
        <v>0.33333333333333331</v>
      </c>
      <c r="H437" s="7">
        <f t="shared" si="22"/>
        <v>0.16666666666666669</v>
      </c>
      <c r="I437" t="str">
        <f>IFERROR(IF(INDEX('Attandance Tracker'!$D$3:$AH$50,MATCH($A437,'Attandance Tracker'!$A$3:$A$50,0),DAY($D437))="P","Present",IF(INDEX('Attandance Tracker'!$D$3:$AH$50,MATCH($A437,'Attandance Tracker'!$A$3:$A$50,0),DAY($D437))="A","Absent","Leave")),"")</f>
        <v>Present</v>
      </c>
    </row>
    <row r="438" spans="1:9" x14ac:dyDescent="0.25">
      <c r="A438">
        <v>1015</v>
      </c>
      <c r="B438" t="str">
        <f>_xlfn.IFNA(INDEX('Attandance Tracker'!$B$3:$B$30,MATCH($A438,'Attandance Tracker'!$A$3:$A$30,0)),"")</f>
        <v xml:space="preserve"> Mohit</v>
      </c>
      <c r="C438" s="14" t="str">
        <f>_xlfn.IFNA(INDEX('Attandance Tracker'!$C$3:$C$30,MATCH($A438,'Attandance Tracker'!$A$3:$A$30,0)),"")</f>
        <v>Sales</v>
      </c>
      <c r="D438" s="14">
        <v>1</v>
      </c>
      <c r="E438" s="7">
        <v>0.33333333333333331</v>
      </c>
      <c r="F438" s="7">
        <v>0.75</v>
      </c>
      <c r="G438" s="7">
        <f t="shared" si="21"/>
        <v>0</v>
      </c>
      <c r="H438" s="7">
        <f t="shared" si="22"/>
        <v>0</v>
      </c>
      <c r="I438" t="str">
        <f>IFERROR(IF(INDEX('Attandance Tracker'!$D$3:$AH$50,MATCH($A438,'Attandance Tracker'!$A$3:$A$50,0),DAY($D438))="P","Present",IF(INDEX('Attandance Tracker'!$D$3:$AH$50,MATCH($A438,'Attandance Tracker'!$A$3:$A$50,0),DAY($D438))="A","Absent","Leave")),"")</f>
        <v>Leave</v>
      </c>
    </row>
    <row r="439" spans="1:9" x14ac:dyDescent="0.25">
      <c r="A439">
        <v>1015</v>
      </c>
      <c r="B439" t="str">
        <f>_xlfn.IFNA(INDEX('Attandance Tracker'!$B$3:$B$30,MATCH($A439,'Attandance Tracker'!$A$3:$A$30,0)),"")</f>
        <v xml:space="preserve"> Mohit</v>
      </c>
      <c r="C439" s="14" t="str">
        <f>_xlfn.IFNA(INDEX('Attandance Tracker'!$C$3:$C$30,MATCH($A439,'Attandance Tracker'!$A$3:$A$30,0)),"")</f>
        <v>Sales</v>
      </c>
      <c r="D439" s="14">
        <v>2</v>
      </c>
      <c r="E439" s="7">
        <v>0.33333333333333331</v>
      </c>
      <c r="F439" s="7">
        <v>0.83333333333333337</v>
      </c>
      <c r="G439" s="7">
        <f t="shared" si="21"/>
        <v>0</v>
      </c>
      <c r="H439" s="7">
        <f t="shared" si="22"/>
        <v>0</v>
      </c>
      <c r="I439" t="str">
        <f>IFERROR(IF(INDEX('Attandance Tracker'!$D$3:$AH$50,MATCH($A439,'Attandance Tracker'!$A$3:$A$50,0),DAY($D439))="P","Present",IF(INDEX('Attandance Tracker'!$D$3:$AH$50,MATCH($A439,'Attandance Tracker'!$A$3:$A$50,0),DAY($D439))="A","Absent","Leave")),"")</f>
        <v>Leave</v>
      </c>
    </row>
    <row r="440" spans="1:9" x14ac:dyDescent="0.25">
      <c r="A440">
        <v>1015</v>
      </c>
      <c r="B440" t="str">
        <f>_xlfn.IFNA(INDEX('Attandance Tracker'!$B$3:$B$30,MATCH($A440,'Attandance Tracker'!$A$3:$A$30,0)),"")</f>
        <v xml:space="preserve"> Mohit</v>
      </c>
      <c r="C440" s="14" t="str">
        <f>_xlfn.IFNA(INDEX('Attandance Tracker'!$C$3:$C$30,MATCH($A440,'Attandance Tracker'!$A$3:$A$30,0)),"")</f>
        <v>Sales</v>
      </c>
      <c r="D440" s="14">
        <v>3</v>
      </c>
      <c r="E440" s="7">
        <v>0.375</v>
      </c>
      <c r="F440" s="7">
        <v>0.83333333333333337</v>
      </c>
      <c r="G440" s="7">
        <f t="shared" si="21"/>
        <v>0</v>
      </c>
      <c r="H440" s="7">
        <f t="shared" si="22"/>
        <v>0</v>
      </c>
      <c r="I440" t="str">
        <f>IFERROR(IF(INDEX('Attandance Tracker'!$D$3:$AH$50,MATCH($A440,'Attandance Tracker'!$A$3:$A$50,0),DAY($D440))="P","Present",IF(INDEX('Attandance Tracker'!$D$3:$AH$50,MATCH($A440,'Attandance Tracker'!$A$3:$A$50,0),DAY($D440))="A","Absent","Leave")),"")</f>
        <v>Leave</v>
      </c>
    </row>
    <row r="441" spans="1:9" x14ac:dyDescent="0.25">
      <c r="A441">
        <v>1015</v>
      </c>
      <c r="B441" t="str">
        <f>_xlfn.IFNA(INDEX('Attandance Tracker'!$B$3:$B$30,MATCH($A441,'Attandance Tracker'!$A$3:$A$30,0)),"")</f>
        <v xml:space="preserve"> Mohit</v>
      </c>
      <c r="C441" s="14" t="str">
        <f>_xlfn.IFNA(INDEX('Attandance Tracker'!$C$3:$C$30,MATCH($A441,'Attandance Tracker'!$A$3:$A$30,0)),"")</f>
        <v>Sales</v>
      </c>
      <c r="D441" s="14">
        <v>4</v>
      </c>
      <c r="E441" s="7">
        <v>0.375</v>
      </c>
      <c r="F441" s="7">
        <v>0.79166666666666663</v>
      </c>
      <c r="G441" s="7">
        <f t="shared" si="21"/>
        <v>0</v>
      </c>
      <c r="H441" s="7">
        <f t="shared" si="22"/>
        <v>0</v>
      </c>
      <c r="I441" t="str">
        <f>IFERROR(IF(INDEX('Attandance Tracker'!$D$3:$AH$50,MATCH($A441,'Attandance Tracker'!$A$3:$A$50,0),DAY($D441))="P","Present",IF(INDEX('Attandance Tracker'!$D$3:$AH$50,MATCH($A441,'Attandance Tracker'!$A$3:$A$50,0),DAY($D441))="A","Absent","Leave")),"")</f>
        <v>Leave</v>
      </c>
    </row>
    <row r="442" spans="1:9" x14ac:dyDescent="0.25">
      <c r="A442">
        <v>1015</v>
      </c>
      <c r="B442" t="str">
        <f>_xlfn.IFNA(INDEX('Attandance Tracker'!$B$3:$B$30,MATCH($A442,'Attandance Tracker'!$A$3:$A$30,0)),"")</f>
        <v xml:space="preserve"> Mohit</v>
      </c>
      <c r="C442" s="14" t="str">
        <f>_xlfn.IFNA(INDEX('Attandance Tracker'!$C$3:$C$30,MATCH($A442,'Attandance Tracker'!$A$3:$A$30,0)),"")</f>
        <v>Sales</v>
      </c>
      <c r="D442" s="14">
        <v>5</v>
      </c>
      <c r="E442" s="7">
        <v>0.375</v>
      </c>
      <c r="F442" s="7">
        <v>0.83333333333333337</v>
      </c>
      <c r="G442" s="7">
        <f t="shared" si="21"/>
        <v>0.33333333333333331</v>
      </c>
      <c r="H442" s="7">
        <f t="shared" si="22"/>
        <v>0.12500000000000006</v>
      </c>
      <c r="I442" t="str">
        <f>IFERROR(IF(INDEX('Attandance Tracker'!$D$3:$AH$50,MATCH($A442,'Attandance Tracker'!$A$3:$A$50,0),DAY($D442))="P","Present",IF(INDEX('Attandance Tracker'!$D$3:$AH$50,MATCH($A442,'Attandance Tracker'!$A$3:$A$50,0),DAY($D442))="A","Absent","Leave")),"")</f>
        <v>Present</v>
      </c>
    </row>
    <row r="443" spans="1:9" x14ac:dyDescent="0.25">
      <c r="A443">
        <v>1015</v>
      </c>
      <c r="B443" t="str">
        <f>_xlfn.IFNA(INDEX('Attandance Tracker'!$B$3:$B$30,MATCH($A443,'Attandance Tracker'!$A$3:$A$30,0)),"")</f>
        <v xml:space="preserve"> Mohit</v>
      </c>
      <c r="C443" s="14" t="str">
        <f>_xlfn.IFNA(INDEX('Attandance Tracker'!$C$3:$C$30,MATCH($A443,'Attandance Tracker'!$A$3:$A$30,0)),"")</f>
        <v>Sales</v>
      </c>
      <c r="D443" s="14">
        <v>6</v>
      </c>
      <c r="E443" s="7">
        <v>0.33333333333333331</v>
      </c>
      <c r="F443" s="7">
        <v>0.75</v>
      </c>
      <c r="G443" s="7">
        <f t="shared" si="21"/>
        <v>0.33333333333333331</v>
      </c>
      <c r="H443" s="7">
        <f t="shared" si="22"/>
        <v>8.333333333333337E-2</v>
      </c>
      <c r="I443" t="str">
        <f>IFERROR(IF(INDEX('Attandance Tracker'!$D$3:$AH$50,MATCH($A443,'Attandance Tracker'!$A$3:$A$50,0),DAY($D443))="P","Present",IF(INDEX('Attandance Tracker'!$D$3:$AH$50,MATCH($A443,'Attandance Tracker'!$A$3:$A$50,0),DAY($D443))="A","Absent","Leave")),"")</f>
        <v>Present</v>
      </c>
    </row>
    <row r="444" spans="1:9" x14ac:dyDescent="0.25">
      <c r="A444">
        <v>1015</v>
      </c>
      <c r="B444" t="str">
        <f>_xlfn.IFNA(INDEX('Attandance Tracker'!$B$3:$B$30,MATCH($A444,'Attandance Tracker'!$A$3:$A$30,0)),"")</f>
        <v xml:space="preserve"> Mohit</v>
      </c>
      <c r="C444" s="14" t="str">
        <f>_xlfn.IFNA(INDEX('Attandance Tracker'!$C$3:$C$30,MATCH($A444,'Attandance Tracker'!$A$3:$A$30,0)),"")</f>
        <v>Sales</v>
      </c>
      <c r="D444" s="14">
        <v>7</v>
      </c>
      <c r="E444" s="7">
        <v>0.33333333333333331</v>
      </c>
      <c r="F444" s="7">
        <v>0.83333333333333337</v>
      </c>
      <c r="G444" s="7">
        <f t="shared" si="21"/>
        <v>0.33333333333333331</v>
      </c>
      <c r="H444" s="7">
        <f t="shared" si="22"/>
        <v>0.16666666666666669</v>
      </c>
      <c r="I444" t="str">
        <f>IFERROR(IF(INDEX('Attandance Tracker'!$D$3:$AH$50,MATCH($A444,'Attandance Tracker'!$A$3:$A$50,0),DAY($D444))="P","Present",IF(INDEX('Attandance Tracker'!$D$3:$AH$50,MATCH($A444,'Attandance Tracker'!$A$3:$A$50,0),DAY($D444))="A","Absent","Leave")),"")</f>
        <v>Present</v>
      </c>
    </row>
    <row r="445" spans="1:9" x14ac:dyDescent="0.25">
      <c r="A445">
        <v>1015</v>
      </c>
      <c r="B445" t="str">
        <f>_xlfn.IFNA(INDEX('Attandance Tracker'!$B$3:$B$30,MATCH($A445,'Attandance Tracker'!$A$3:$A$30,0)),"")</f>
        <v xml:space="preserve"> Mohit</v>
      </c>
      <c r="C445" s="14" t="str">
        <f>_xlfn.IFNA(INDEX('Attandance Tracker'!$C$3:$C$30,MATCH($A445,'Attandance Tracker'!$A$3:$A$30,0)),"")</f>
        <v>Sales</v>
      </c>
      <c r="D445" s="14">
        <v>8</v>
      </c>
      <c r="E445" s="7">
        <v>0.375</v>
      </c>
      <c r="F445" s="7">
        <v>0.83333333333333337</v>
      </c>
      <c r="G445" s="7">
        <f t="shared" si="21"/>
        <v>0.33333333333333331</v>
      </c>
      <c r="H445" s="7">
        <f t="shared" si="22"/>
        <v>0.12500000000000006</v>
      </c>
      <c r="I445" t="str">
        <f>IFERROR(IF(INDEX('Attandance Tracker'!$D$3:$AH$50,MATCH($A445,'Attandance Tracker'!$A$3:$A$50,0),DAY($D445))="P","Present",IF(INDEX('Attandance Tracker'!$D$3:$AH$50,MATCH($A445,'Attandance Tracker'!$A$3:$A$50,0),DAY($D445))="A","Absent","Leave")),"")</f>
        <v>Present</v>
      </c>
    </row>
    <row r="446" spans="1:9" x14ac:dyDescent="0.25">
      <c r="A446">
        <v>1015</v>
      </c>
      <c r="B446" t="str">
        <f>_xlfn.IFNA(INDEX('Attandance Tracker'!$B$3:$B$30,MATCH($A446,'Attandance Tracker'!$A$3:$A$30,0)),"")</f>
        <v xml:space="preserve"> Mohit</v>
      </c>
      <c r="C446" s="14" t="str">
        <f>_xlfn.IFNA(INDEX('Attandance Tracker'!$C$3:$C$30,MATCH($A446,'Attandance Tracker'!$A$3:$A$30,0)),"")</f>
        <v>Sales</v>
      </c>
      <c r="D446" s="14">
        <v>9</v>
      </c>
      <c r="E446" s="7">
        <v>0.375</v>
      </c>
      <c r="F446" s="7">
        <v>0.83333333333333337</v>
      </c>
      <c r="G446" s="7">
        <f t="shared" si="21"/>
        <v>0.33333333333333331</v>
      </c>
      <c r="H446" s="7">
        <f t="shared" si="22"/>
        <v>0.12500000000000006</v>
      </c>
      <c r="I446" t="str">
        <f>IFERROR(IF(INDEX('Attandance Tracker'!$D$3:$AH$50,MATCH($A446,'Attandance Tracker'!$A$3:$A$50,0),DAY($D446))="P","Present",IF(INDEX('Attandance Tracker'!$D$3:$AH$50,MATCH($A446,'Attandance Tracker'!$A$3:$A$50,0),DAY($D446))="A","Absent","Leave")),"")</f>
        <v>Present</v>
      </c>
    </row>
    <row r="447" spans="1:9" x14ac:dyDescent="0.25">
      <c r="A447">
        <v>1015</v>
      </c>
      <c r="B447" t="str">
        <f>_xlfn.IFNA(INDEX('Attandance Tracker'!$B$3:$B$30,MATCH($A447,'Attandance Tracker'!$A$3:$A$30,0)),"")</f>
        <v xml:space="preserve"> Mohit</v>
      </c>
      <c r="C447" s="14" t="str">
        <f>_xlfn.IFNA(INDEX('Attandance Tracker'!$C$3:$C$30,MATCH($A447,'Attandance Tracker'!$A$3:$A$30,0)),"")</f>
        <v>Sales</v>
      </c>
      <c r="D447" s="14">
        <v>10</v>
      </c>
      <c r="E447" s="7">
        <v>0.375</v>
      </c>
      <c r="F447" s="7">
        <v>0.79166666666666663</v>
      </c>
      <c r="G447" s="7">
        <f t="shared" si="21"/>
        <v>0.33333333333333331</v>
      </c>
      <c r="H447" s="7">
        <f t="shared" si="22"/>
        <v>8.3333333333333315E-2</v>
      </c>
      <c r="I447" t="str">
        <f>IFERROR(IF(INDEX('Attandance Tracker'!$D$3:$AH$50,MATCH($A447,'Attandance Tracker'!$A$3:$A$50,0),DAY($D447))="P","Present",IF(INDEX('Attandance Tracker'!$D$3:$AH$50,MATCH($A447,'Attandance Tracker'!$A$3:$A$50,0),DAY($D447))="A","Absent","Leave")),"")</f>
        <v>Present</v>
      </c>
    </row>
    <row r="448" spans="1:9" x14ac:dyDescent="0.25">
      <c r="A448">
        <v>1015</v>
      </c>
      <c r="B448" t="str">
        <f>_xlfn.IFNA(INDEX('Attandance Tracker'!$B$3:$B$30,MATCH($A448,'Attandance Tracker'!$A$3:$A$30,0)),"")</f>
        <v xml:space="preserve"> Mohit</v>
      </c>
      <c r="C448" s="14" t="str">
        <f>_xlfn.IFNA(INDEX('Attandance Tracker'!$C$3:$C$30,MATCH($A448,'Attandance Tracker'!$A$3:$A$30,0)),"")</f>
        <v>Sales</v>
      </c>
      <c r="D448" s="14">
        <v>11</v>
      </c>
      <c r="E448" s="7">
        <v>0.33333333333333331</v>
      </c>
      <c r="F448" s="7">
        <v>0.83333333333333337</v>
      </c>
      <c r="G448" s="7">
        <f t="shared" si="21"/>
        <v>0.33333333333333331</v>
      </c>
      <c r="H448" s="7">
        <f t="shared" si="22"/>
        <v>0.16666666666666669</v>
      </c>
      <c r="I448" t="str">
        <f>IFERROR(IF(INDEX('Attandance Tracker'!$D$3:$AH$50,MATCH($A448,'Attandance Tracker'!$A$3:$A$50,0),DAY($D448))="P","Present",IF(INDEX('Attandance Tracker'!$D$3:$AH$50,MATCH($A448,'Attandance Tracker'!$A$3:$A$50,0),DAY($D448))="A","Absent","Leave")),"")</f>
        <v>Present</v>
      </c>
    </row>
    <row r="449" spans="1:9" x14ac:dyDescent="0.25">
      <c r="A449">
        <v>1015</v>
      </c>
      <c r="B449" t="str">
        <f>_xlfn.IFNA(INDEX('Attandance Tracker'!$B$3:$B$30,MATCH($A449,'Attandance Tracker'!$A$3:$A$30,0)),"")</f>
        <v xml:space="preserve"> Mohit</v>
      </c>
      <c r="C449" s="14" t="str">
        <f>_xlfn.IFNA(INDEX('Attandance Tracker'!$C$3:$C$30,MATCH($A449,'Attandance Tracker'!$A$3:$A$30,0)),"")</f>
        <v>Sales</v>
      </c>
      <c r="D449" s="14">
        <v>12</v>
      </c>
      <c r="E449" s="7">
        <v>0.33333333333333331</v>
      </c>
      <c r="F449" s="7">
        <v>0.75</v>
      </c>
      <c r="G449" s="7">
        <f t="shared" si="21"/>
        <v>0.33333333333333331</v>
      </c>
      <c r="H449" s="7">
        <f t="shared" si="22"/>
        <v>8.333333333333337E-2</v>
      </c>
      <c r="I449" t="str">
        <f>IFERROR(IF(INDEX('Attandance Tracker'!$D$3:$AH$50,MATCH($A449,'Attandance Tracker'!$A$3:$A$50,0),DAY($D449))="P","Present",IF(INDEX('Attandance Tracker'!$D$3:$AH$50,MATCH($A449,'Attandance Tracker'!$A$3:$A$50,0),DAY($D449))="A","Absent","Leave")),"")</f>
        <v>Present</v>
      </c>
    </row>
    <row r="450" spans="1:9" x14ac:dyDescent="0.25">
      <c r="A450">
        <v>1015</v>
      </c>
      <c r="B450" t="str">
        <f>_xlfn.IFNA(INDEX('Attandance Tracker'!$B$3:$B$30,MATCH($A450,'Attandance Tracker'!$A$3:$A$30,0)),"")</f>
        <v xml:space="preserve"> Mohit</v>
      </c>
      <c r="C450" s="14" t="str">
        <f>_xlfn.IFNA(INDEX('Attandance Tracker'!$C$3:$C$30,MATCH($A450,'Attandance Tracker'!$A$3:$A$30,0)),"")</f>
        <v>Sales</v>
      </c>
      <c r="D450" s="14">
        <v>13</v>
      </c>
      <c r="E450" s="7">
        <v>0.33333333333333331</v>
      </c>
      <c r="F450" s="7">
        <v>0.83333333333333337</v>
      </c>
      <c r="G450" s="7">
        <f t="shared" si="21"/>
        <v>0.33333333333333331</v>
      </c>
      <c r="H450" s="7">
        <f t="shared" si="22"/>
        <v>0.16666666666666669</v>
      </c>
      <c r="I450" t="str">
        <f>IFERROR(IF(INDEX('Attandance Tracker'!$D$3:$AH$50,MATCH($A450,'Attandance Tracker'!$A$3:$A$50,0),DAY($D450))="P","Present",IF(INDEX('Attandance Tracker'!$D$3:$AH$50,MATCH($A450,'Attandance Tracker'!$A$3:$A$50,0),DAY($D450))="A","Absent","Leave")),"")</f>
        <v>Present</v>
      </c>
    </row>
    <row r="451" spans="1:9" x14ac:dyDescent="0.25">
      <c r="A451">
        <v>1015</v>
      </c>
      <c r="B451" t="str">
        <f>_xlfn.IFNA(INDEX('Attandance Tracker'!$B$3:$B$30,MATCH($A451,'Attandance Tracker'!$A$3:$A$30,0)),"")</f>
        <v xml:space="preserve"> Mohit</v>
      </c>
      <c r="C451" s="14" t="str">
        <f>_xlfn.IFNA(INDEX('Attandance Tracker'!$C$3:$C$30,MATCH($A451,'Attandance Tracker'!$A$3:$A$30,0)),"")</f>
        <v>Sales</v>
      </c>
      <c r="D451" s="14">
        <v>14</v>
      </c>
      <c r="E451" s="7">
        <v>0.33333333333333331</v>
      </c>
      <c r="F451" s="7">
        <v>0.83333333333333337</v>
      </c>
      <c r="G451" s="7">
        <f t="shared" si="21"/>
        <v>0.33333333333333331</v>
      </c>
      <c r="H451" s="7">
        <f t="shared" si="22"/>
        <v>0.16666666666666669</v>
      </c>
      <c r="I451" t="str">
        <f>IFERROR(IF(INDEX('Attandance Tracker'!$D$3:$AH$50,MATCH($A451,'Attandance Tracker'!$A$3:$A$50,0),DAY($D451))="P","Present",IF(INDEX('Attandance Tracker'!$D$3:$AH$50,MATCH($A451,'Attandance Tracker'!$A$3:$A$50,0),DAY($D451))="A","Absent","Leave")),"")</f>
        <v>Present</v>
      </c>
    </row>
    <row r="452" spans="1:9" x14ac:dyDescent="0.25">
      <c r="A452">
        <v>1015</v>
      </c>
      <c r="B452" t="str">
        <f>_xlfn.IFNA(INDEX('Attandance Tracker'!$B$3:$B$30,MATCH($A452,'Attandance Tracker'!$A$3:$A$30,0)),"")</f>
        <v xml:space="preserve"> Mohit</v>
      </c>
      <c r="C452" s="14" t="str">
        <f>_xlfn.IFNA(INDEX('Attandance Tracker'!$C$3:$C$30,MATCH($A452,'Attandance Tracker'!$A$3:$A$30,0)),"")</f>
        <v>Sales</v>
      </c>
      <c r="D452" s="14">
        <v>15</v>
      </c>
      <c r="E452" s="7">
        <v>0.33333333333333331</v>
      </c>
      <c r="F452" s="7">
        <v>0.79166666666666663</v>
      </c>
      <c r="G452" s="7">
        <f t="shared" si="21"/>
        <v>0.33333333333333331</v>
      </c>
      <c r="H452" s="7">
        <f t="shared" si="22"/>
        <v>0.125</v>
      </c>
      <c r="I452" t="str">
        <f>IFERROR(IF(INDEX('Attandance Tracker'!$D$3:$AH$50,MATCH($A452,'Attandance Tracker'!$A$3:$A$50,0),DAY($D452))="P","Present",IF(INDEX('Attandance Tracker'!$D$3:$AH$50,MATCH($A452,'Attandance Tracker'!$A$3:$A$50,0),DAY($D452))="A","Absent","Leave")),"")</f>
        <v>Present</v>
      </c>
    </row>
    <row r="453" spans="1:9" x14ac:dyDescent="0.25">
      <c r="A453">
        <v>1015</v>
      </c>
      <c r="B453" t="str">
        <f>_xlfn.IFNA(INDEX('Attandance Tracker'!$B$3:$B$30,MATCH($A453,'Attandance Tracker'!$A$3:$A$30,0)),"")</f>
        <v xml:space="preserve"> Mohit</v>
      </c>
      <c r="C453" s="14" t="str">
        <f>_xlfn.IFNA(INDEX('Attandance Tracker'!$C$3:$C$30,MATCH($A453,'Attandance Tracker'!$A$3:$A$30,0)),"")</f>
        <v>Sales</v>
      </c>
      <c r="D453" s="14">
        <v>16</v>
      </c>
      <c r="E453" s="7">
        <v>0.33333333333333331</v>
      </c>
      <c r="F453" s="7">
        <v>0.83333333333333337</v>
      </c>
      <c r="G453" s="7">
        <f t="shared" ref="G453:G516" si="23">IF(I453="Present",MIN(F453-E453,8/24),IF(I453="Absent",8/24,0))</f>
        <v>0.33333333333333331</v>
      </c>
      <c r="H453" s="7">
        <f t="shared" ref="H453:H516" si="24">IF(I453="Present",MAX(0,F453-E453-8/24),0)</f>
        <v>0.16666666666666669</v>
      </c>
      <c r="I453" t="str">
        <f>IFERROR(IF(INDEX('Attandance Tracker'!$D$3:$AH$50,MATCH($A453,'Attandance Tracker'!$A$3:$A$50,0),DAY($D453))="P","Present",IF(INDEX('Attandance Tracker'!$D$3:$AH$50,MATCH($A453,'Attandance Tracker'!$A$3:$A$50,0),DAY($D453))="A","Absent","Leave")),"")</f>
        <v>Present</v>
      </c>
    </row>
    <row r="454" spans="1:9" x14ac:dyDescent="0.25">
      <c r="A454">
        <v>1015</v>
      </c>
      <c r="B454" t="str">
        <f>_xlfn.IFNA(INDEX('Attandance Tracker'!$B$3:$B$30,MATCH($A454,'Attandance Tracker'!$A$3:$A$30,0)),"")</f>
        <v xml:space="preserve"> Mohit</v>
      </c>
      <c r="C454" s="14" t="str">
        <f>_xlfn.IFNA(INDEX('Attandance Tracker'!$C$3:$C$30,MATCH($A454,'Attandance Tracker'!$A$3:$A$30,0)),"")</f>
        <v>Sales</v>
      </c>
      <c r="D454" s="14">
        <v>17</v>
      </c>
      <c r="E454" s="7">
        <v>0.33333333333333331</v>
      </c>
      <c r="F454" s="7">
        <v>0.75</v>
      </c>
      <c r="G454" s="7">
        <f t="shared" si="23"/>
        <v>0.33333333333333331</v>
      </c>
      <c r="H454" s="7">
        <f t="shared" si="24"/>
        <v>8.333333333333337E-2</v>
      </c>
      <c r="I454" t="str">
        <f>IFERROR(IF(INDEX('Attandance Tracker'!$D$3:$AH$50,MATCH($A454,'Attandance Tracker'!$A$3:$A$50,0),DAY($D454))="P","Present",IF(INDEX('Attandance Tracker'!$D$3:$AH$50,MATCH($A454,'Attandance Tracker'!$A$3:$A$50,0),DAY($D454))="A","Absent","Leave")),"")</f>
        <v>Present</v>
      </c>
    </row>
    <row r="455" spans="1:9" x14ac:dyDescent="0.25">
      <c r="A455">
        <v>1015</v>
      </c>
      <c r="B455" t="str">
        <f>_xlfn.IFNA(INDEX('Attandance Tracker'!$B$3:$B$30,MATCH($A455,'Attandance Tracker'!$A$3:$A$30,0)),"")</f>
        <v xml:space="preserve"> Mohit</v>
      </c>
      <c r="C455" s="14" t="str">
        <f>_xlfn.IFNA(INDEX('Attandance Tracker'!$C$3:$C$30,MATCH($A455,'Attandance Tracker'!$A$3:$A$30,0)),"")</f>
        <v>Sales</v>
      </c>
      <c r="D455" s="14">
        <v>18</v>
      </c>
      <c r="E455" s="7">
        <v>0.375</v>
      </c>
      <c r="F455" s="7">
        <v>0.83333333333333337</v>
      </c>
      <c r="G455" s="7">
        <f t="shared" si="23"/>
        <v>0.33333333333333331</v>
      </c>
      <c r="H455" s="7">
        <f t="shared" si="24"/>
        <v>0.12500000000000006</v>
      </c>
      <c r="I455" t="str">
        <f>IFERROR(IF(INDEX('Attandance Tracker'!$D$3:$AH$50,MATCH($A455,'Attandance Tracker'!$A$3:$A$50,0),DAY($D455))="P","Present",IF(INDEX('Attandance Tracker'!$D$3:$AH$50,MATCH($A455,'Attandance Tracker'!$A$3:$A$50,0),DAY($D455))="A","Absent","Leave")),"")</f>
        <v>Present</v>
      </c>
    </row>
    <row r="456" spans="1:9" x14ac:dyDescent="0.25">
      <c r="A456">
        <v>1015</v>
      </c>
      <c r="B456" t="str">
        <f>_xlfn.IFNA(INDEX('Attandance Tracker'!$B$3:$B$30,MATCH($A456,'Attandance Tracker'!$A$3:$A$30,0)),"")</f>
        <v xml:space="preserve"> Mohit</v>
      </c>
      <c r="C456" s="14" t="str">
        <f>_xlfn.IFNA(INDEX('Attandance Tracker'!$C$3:$C$30,MATCH($A456,'Attandance Tracker'!$A$3:$A$30,0)),"")</f>
        <v>Sales</v>
      </c>
      <c r="D456" s="14">
        <v>19</v>
      </c>
      <c r="E456" s="7">
        <v>0.375</v>
      </c>
      <c r="F456" s="7">
        <v>0.83333333333333337</v>
      </c>
      <c r="G456" s="7">
        <f t="shared" si="23"/>
        <v>0.33333333333333331</v>
      </c>
      <c r="H456" s="7">
        <f t="shared" si="24"/>
        <v>0.12500000000000006</v>
      </c>
      <c r="I456" t="str">
        <f>IFERROR(IF(INDEX('Attandance Tracker'!$D$3:$AH$50,MATCH($A456,'Attandance Tracker'!$A$3:$A$50,0),DAY($D456))="P","Present",IF(INDEX('Attandance Tracker'!$D$3:$AH$50,MATCH($A456,'Attandance Tracker'!$A$3:$A$50,0),DAY($D456))="A","Absent","Leave")),"")</f>
        <v>Present</v>
      </c>
    </row>
    <row r="457" spans="1:9" x14ac:dyDescent="0.25">
      <c r="A457">
        <v>1015</v>
      </c>
      <c r="B457" t="str">
        <f>_xlfn.IFNA(INDEX('Attandance Tracker'!$B$3:$B$30,MATCH($A457,'Attandance Tracker'!$A$3:$A$30,0)),"")</f>
        <v xml:space="preserve"> Mohit</v>
      </c>
      <c r="C457" s="14" t="str">
        <f>_xlfn.IFNA(INDEX('Attandance Tracker'!$C$3:$C$30,MATCH($A457,'Attandance Tracker'!$A$3:$A$30,0)),"")</f>
        <v>Sales</v>
      </c>
      <c r="D457" s="14">
        <v>20</v>
      </c>
      <c r="E457" s="7">
        <v>0.375</v>
      </c>
      <c r="F457" s="7">
        <v>0.79166666666666663</v>
      </c>
      <c r="G457" s="7">
        <f t="shared" si="23"/>
        <v>0.33333333333333331</v>
      </c>
      <c r="H457" s="7">
        <f t="shared" si="24"/>
        <v>8.3333333333333315E-2</v>
      </c>
      <c r="I457" t="str">
        <f>IFERROR(IF(INDEX('Attandance Tracker'!$D$3:$AH$50,MATCH($A457,'Attandance Tracker'!$A$3:$A$50,0),DAY($D457))="P","Present",IF(INDEX('Attandance Tracker'!$D$3:$AH$50,MATCH($A457,'Attandance Tracker'!$A$3:$A$50,0),DAY($D457))="A","Absent","Leave")),"")</f>
        <v>Present</v>
      </c>
    </row>
    <row r="458" spans="1:9" x14ac:dyDescent="0.25">
      <c r="A458">
        <v>1015</v>
      </c>
      <c r="B458" t="str">
        <f>_xlfn.IFNA(INDEX('Attandance Tracker'!$B$3:$B$30,MATCH($A458,'Attandance Tracker'!$A$3:$A$30,0)),"")</f>
        <v xml:space="preserve"> Mohit</v>
      </c>
      <c r="C458" s="14" t="str">
        <f>_xlfn.IFNA(INDEX('Attandance Tracker'!$C$3:$C$30,MATCH($A458,'Attandance Tracker'!$A$3:$A$30,0)),"")</f>
        <v>Sales</v>
      </c>
      <c r="D458" s="14">
        <v>21</v>
      </c>
      <c r="E458" s="7">
        <v>0.33333333333333331</v>
      </c>
      <c r="F458" s="7">
        <v>0.83333333333333337</v>
      </c>
      <c r="G458" s="7">
        <f t="shared" si="23"/>
        <v>0.33333333333333331</v>
      </c>
      <c r="H458" s="7">
        <f t="shared" si="24"/>
        <v>0.16666666666666669</v>
      </c>
      <c r="I458" t="str">
        <f>IFERROR(IF(INDEX('Attandance Tracker'!$D$3:$AH$50,MATCH($A458,'Attandance Tracker'!$A$3:$A$50,0),DAY($D458))="P","Present",IF(INDEX('Attandance Tracker'!$D$3:$AH$50,MATCH($A458,'Attandance Tracker'!$A$3:$A$50,0),DAY($D458))="A","Absent","Leave")),"")</f>
        <v>Present</v>
      </c>
    </row>
    <row r="459" spans="1:9" x14ac:dyDescent="0.25">
      <c r="A459">
        <v>1015</v>
      </c>
      <c r="B459" t="str">
        <f>_xlfn.IFNA(INDEX('Attandance Tracker'!$B$3:$B$30,MATCH($A459,'Attandance Tracker'!$A$3:$A$30,0)),"")</f>
        <v xml:space="preserve"> Mohit</v>
      </c>
      <c r="C459" s="14" t="str">
        <f>_xlfn.IFNA(INDEX('Attandance Tracker'!$C$3:$C$30,MATCH($A459,'Attandance Tracker'!$A$3:$A$30,0)),"")</f>
        <v>Sales</v>
      </c>
      <c r="D459" s="14">
        <v>22</v>
      </c>
      <c r="E459" s="7">
        <v>0.375</v>
      </c>
      <c r="F459" s="7">
        <v>0.75</v>
      </c>
      <c r="G459" s="7">
        <f t="shared" si="23"/>
        <v>0.33333333333333331</v>
      </c>
      <c r="H459" s="7">
        <f t="shared" si="24"/>
        <v>4.1666666666666685E-2</v>
      </c>
      <c r="I459" t="str">
        <f>IFERROR(IF(INDEX('Attandance Tracker'!$D$3:$AH$50,MATCH($A459,'Attandance Tracker'!$A$3:$A$50,0),DAY($D459))="P","Present",IF(INDEX('Attandance Tracker'!$D$3:$AH$50,MATCH($A459,'Attandance Tracker'!$A$3:$A$50,0),DAY($D459))="A","Absent","Leave")),"")</f>
        <v>Present</v>
      </c>
    </row>
    <row r="460" spans="1:9" x14ac:dyDescent="0.25">
      <c r="A460">
        <v>1015</v>
      </c>
      <c r="B460" t="str">
        <f>_xlfn.IFNA(INDEX('Attandance Tracker'!$B$3:$B$30,MATCH($A460,'Attandance Tracker'!$A$3:$A$30,0)),"")</f>
        <v xml:space="preserve"> Mohit</v>
      </c>
      <c r="C460" s="14" t="str">
        <f>_xlfn.IFNA(INDEX('Attandance Tracker'!$C$3:$C$30,MATCH($A460,'Attandance Tracker'!$A$3:$A$30,0)),"")</f>
        <v>Sales</v>
      </c>
      <c r="D460" s="14">
        <v>23</v>
      </c>
      <c r="E460" s="7">
        <v>0.375</v>
      </c>
      <c r="F460" s="7">
        <v>0.83333333333333337</v>
      </c>
      <c r="G460" s="7">
        <f t="shared" si="23"/>
        <v>0.33333333333333331</v>
      </c>
      <c r="H460" s="7">
        <f t="shared" si="24"/>
        <v>0.12500000000000006</v>
      </c>
      <c r="I460" t="str">
        <f>IFERROR(IF(INDEX('Attandance Tracker'!$D$3:$AH$50,MATCH($A460,'Attandance Tracker'!$A$3:$A$50,0),DAY($D460))="P","Present",IF(INDEX('Attandance Tracker'!$D$3:$AH$50,MATCH($A460,'Attandance Tracker'!$A$3:$A$50,0),DAY($D460))="A","Absent","Leave")),"")</f>
        <v>Present</v>
      </c>
    </row>
    <row r="461" spans="1:9" x14ac:dyDescent="0.25">
      <c r="A461">
        <v>1015</v>
      </c>
      <c r="B461" t="str">
        <f>_xlfn.IFNA(INDEX('Attandance Tracker'!$B$3:$B$30,MATCH($A461,'Attandance Tracker'!$A$3:$A$30,0)),"")</f>
        <v xml:space="preserve"> Mohit</v>
      </c>
      <c r="C461" s="14" t="str">
        <f>_xlfn.IFNA(INDEX('Attandance Tracker'!$C$3:$C$30,MATCH($A461,'Attandance Tracker'!$A$3:$A$30,0)),"")</f>
        <v>Sales</v>
      </c>
      <c r="D461" s="14">
        <v>24</v>
      </c>
      <c r="E461" s="7">
        <v>0.375</v>
      </c>
      <c r="F461" s="7">
        <v>0.83333333333333337</v>
      </c>
      <c r="G461" s="7">
        <f t="shared" si="23"/>
        <v>0.33333333333333331</v>
      </c>
      <c r="H461" s="7">
        <f t="shared" si="24"/>
        <v>0.12500000000000006</v>
      </c>
      <c r="I461" t="str">
        <f>IFERROR(IF(INDEX('Attandance Tracker'!$D$3:$AH$50,MATCH($A461,'Attandance Tracker'!$A$3:$A$50,0),DAY($D461))="P","Present",IF(INDEX('Attandance Tracker'!$D$3:$AH$50,MATCH($A461,'Attandance Tracker'!$A$3:$A$50,0),DAY($D461))="A","Absent","Leave")),"")</f>
        <v>Present</v>
      </c>
    </row>
    <row r="462" spans="1:9" x14ac:dyDescent="0.25">
      <c r="A462">
        <v>1015</v>
      </c>
      <c r="B462" t="str">
        <f>_xlfn.IFNA(INDEX('Attandance Tracker'!$B$3:$B$30,MATCH($A462,'Attandance Tracker'!$A$3:$A$30,0)),"")</f>
        <v xml:space="preserve"> Mohit</v>
      </c>
      <c r="C462" s="14" t="str">
        <f>_xlfn.IFNA(INDEX('Attandance Tracker'!$C$3:$C$30,MATCH($A462,'Attandance Tracker'!$A$3:$A$30,0)),"")</f>
        <v>Sales</v>
      </c>
      <c r="D462" s="14">
        <v>25</v>
      </c>
      <c r="E462" s="7">
        <v>0.33333333333333331</v>
      </c>
      <c r="F462" s="7">
        <v>0.83333333333333337</v>
      </c>
      <c r="G462" s="7">
        <f t="shared" si="23"/>
        <v>0.33333333333333331</v>
      </c>
      <c r="H462" s="7">
        <f t="shared" si="24"/>
        <v>0.16666666666666669</v>
      </c>
      <c r="I462" t="str">
        <f>IFERROR(IF(INDEX('Attandance Tracker'!$D$3:$AH$50,MATCH($A462,'Attandance Tracker'!$A$3:$A$50,0),DAY($D462))="P","Present",IF(INDEX('Attandance Tracker'!$D$3:$AH$50,MATCH($A462,'Attandance Tracker'!$A$3:$A$50,0),DAY($D462))="A","Absent","Leave")),"")</f>
        <v>Present</v>
      </c>
    </row>
    <row r="463" spans="1:9" x14ac:dyDescent="0.25">
      <c r="A463">
        <v>1015</v>
      </c>
      <c r="B463" t="str">
        <f>_xlfn.IFNA(INDEX('Attandance Tracker'!$B$3:$B$30,MATCH($A463,'Attandance Tracker'!$A$3:$A$30,0)),"")</f>
        <v xml:space="preserve"> Mohit</v>
      </c>
      <c r="C463" s="14" t="str">
        <f>_xlfn.IFNA(INDEX('Attandance Tracker'!$C$3:$C$30,MATCH($A463,'Attandance Tracker'!$A$3:$A$30,0)),"")</f>
        <v>Sales</v>
      </c>
      <c r="D463" s="14">
        <v>26</v>
      </c>
      <c r="E463" s="7">
        <v>0.375</v>
      </c>
      <c r="F463" s="7">
        <v>0.79166666666666663</v>
      </c>
      <c r="G463" s="7">
        <f t="shared" si="23"/>
        <v>0.33333333333333331</v>
      </c>
      <c r="H463" s="7">
        <f t="shared" si="24"/>
        <v>8.3333333333333315E-2</v>
      </c>
      <c r="I463" t="str">
        <f>IFERROR(IF(INDEX('Attandance Tracker'!$D$3:$AH$50,MATCH($A463,'Attandance Tracker'!$A$3:$A$50,0),DAY($D463))="P","Present",IF(INDEX('Attandance Tracker'!$D$3:$AH$50,MATCH($A463,'Attandance Tracker'!$A$3:$A$50,0),DAY($D463))="A","Absent","Leave")),"")</f>
        <v>Present</v>
      </c>
    </row>
    <row r="464" spans="1:9" x14ac:dyDescent="0.25">
      <c r="A464">
        <v>1015</v>
      </c>
      <c r="B464" t="str">
        <f>_xlfn.IFNA(INDEX('Attandance Tracker'!$B$3:$B$30,MATCH($A464,'Attandance Tracker'!$A$3:$A$30,0)),"")</f>
        <v xml:space="preserve"> Mohit</v>
      </c>
      <c r="C464" s="14" t="str">
        <f>_xlfn.IFNA(INDEX('Attandance Tracker'!$C$3:$C$30,MATCH($A464,'Attandance Tracker'!$A$3:$A$30,0)),"")</f>
        <v>Sales</v>
      </c>
      <c r="D464" s="14">
        <v>27</v>
      </c>
      <c r="E464" s="7">
        <v>0.375</v>
      </c>
      <c r="F464" s="7">
        <v>0.83333333333333337</v>
      </c>
      <c r="G464" s="7">
        <f t="shared" si="23"/>
        <v>0.33333333333333331</v>
      </c>
      <c r="H464" s="7">
        <f t="shared" si="24"/>
        <v>0.12500000000000006</v>
      </c>
      <c r="I464" t="str">
        <f>IFERROR(IF(INDEX('Attandance Tracker'!$D$3:$AH$50,MATCH($A464,'Attandance Tracker'!$A$3:$A$50,0),DAY($D464))="P","Present",IF(INDEX('Attandance Tracker'!$D$3:$AH$50,MATCH($A464,'Attandance Tracker'!$A$3:$A$50,0),DAY($D464))="A","Absent","Leave")),"")</f>
        <v>Present</v>
      </c>
    </row>
    <row r="465" spans="1:9" x14ac:dyDescent="0.25">
      <c r="A465">
        <v>1015</v>
      </c>
      <c r="B465" t="str">
        <f>_xlfn.IFNA(INDEX('Attandance Tracker'!$B$3:$B$30,MATCH($A465,'Attandance Tracker'!$A$3:$A$30,0)),"")</f>
        <v xml:space="preserve"> Mohit</v>
      </c>
      <c r="C465" s="14" t="str">
        <f>_xlfn.IFNA(INDEX('Attandance Tracker'!$C$3:$C$30,MATCH($A465,'Attandance Tracker'!$A$3:$A$30,0)),"")</f>
        <v>Sales</v>
      </c>
      <c r="D465" s="14">
        <v>28</v>
      </c>
      <c r="E465" s="7">
        <v>0.375</v>
      </c>
      <c r="F465" s="7">
        <v>0.75</v>
      </c>
      <c r="G465" s="7">
        <f t="shared" si="23"/>
        <v>0.33333333333333331</v>
      </c>
      <c r="H465" s="7">
        <f t="shared" si="24"/>
        <v>4.1666666666666685E-2</v>
      </c>
      <c r="I465" t="str">
        <f>IFERROR(IF(INDEX('Attandance Tracker'!$D$3:$AH$50,MATCH($A465,'Attandance Tracker'!$A$3:$A$50,0),DAY($D465))="P","Present",IF(INDEX('Attandance Tracker'!$D$3:$AH$50,MATCH($A465,'Attandance Tracker'!$A$3:$A$50,0),DAY($D465))="A","Absent","Leave")),"")</f>
        <v>Present</v>
      </c>
    </row>
    <row r="466" spans="1:9" x14ac:dyDescent="0.25">
      <c r="A466">
        <v>1015</v>
      </c>
      <c r="B466" t="str">
        <f>_xlfn.IFNA(INDEX('Attandance Tracker'!$B$3:$B$30,MATCH($A466,'Attandance Tracker'!$A$3:$A$30,0)),"")</f>
        <v xml:space="preserve"> Mohit</v>
      </c>
      <c r="C466" s="14" t="str">
        <f>_xlfn.IFNA(INDEX('Attandance Tracker'!$C$3:$C$30,MATCH($A466,'Attandance Tracker'!$A$3:$A$30,0)),"")</f>
        <v>Sales</v>
      </c>
      <c r="D466" s="14">
        <v>29</v>
      </c>
      <c r="E466" s="7">
        <v>0.33333333333333331</v>
      </c>
      <c r="F466" s="7">
        <v>0.83333333333333337</v>
      </c>
      <c r="G466" s="7">
        <f t="shared" si="23"/>
        <v>0.33333333333333331</v>
      </c>
      <c r="H466" s="7">
        <f t="shared" si="24"/>
        <v>0.16666666666666669</v>
      </c>
      <c r="I466" t="str">
        <f>IFERROR(IF(INDEX('Attandance Tracker'!$D$3:$AH$50,MATCH($A466,'Attandance Tracker'!$A$3:$A$50,0),DAY($D466))="P","Present",IF(INDEX('Attandance Tracker'!$D$3:$AH$50,MATCH($A466,'Attandance Tracker'!$A$3:$A$50,0),DAY($D466))="A","Absent","Leave")),"")</f>
        <v>Present</v>
      </c>
    </row>
    <row r="467" spans="1:9" x14ac:dyDescent="0.25">
      <c r="A467">
        <v>1015</v>
      </c>
      <c r="B467" t="str">
        <f>_xlfn.IFNA(INDEX('Attandance Tracker'!$B$3:$B$30,MATCH($A467,'Attandance Tracker'!$A$3:$A$30,0)),"")</f>
        <v xml:space="preserve"> Mohit</v>
      </c>
      <c r="C467" s="14" t="str">
        <f>_xlfn.IFNA(INDEX('Attandance Tracker'!$C$3:$C$30,MATCH($A467,'Attandance Tracker'!$A$3:$A$30,0)),"")</f>
        <v>Sales</v>
      </c>
      <c r="D467" s="14">
        <v>30</v>
      </c>
      <c r="E467" s="7">
        <v>0.33333333333333331</v>
      </c>
      <c r="F467" s="7">
        <v>0.83333333333333337</v>
      </c>
      <c r="G467" s="7">
        <f t="shared" si="23"/>
        <v>0.33333333333333331</v>
      </c>
      <c r="H467" s="7">
        <f t="shared" si="24"/>
        <v>0.16666666666666669</v>
      </c>
      <c r="I467" t="str">
        <f>IFERROR(IF(INDEX('Attandance Tracker'!$D$3:$AH$50,MATCH($A467,'Attandance Tracker'!$A$3:$A$50,0),DAY($D467))="P","Present",IF(INDEX('Attandance Tracker'!$D$3:$AH$50,MATCH($A467,'Attandance Tracker'!$A$3:$A$50,0),DAY($D467))="A","Absent","Leave")),"")</f>
        <v>Present</v>
      </c>
    </row>
    <row r="468" spans="1:9" x14ac:dyDescent="0.25">
      <c r="A468">
        <v>1015</v>
      </c>
      <c r="B468" t="str">
        <f>_xlfn.IFNA(INDEX('Attandance Tracker'!$B$3:$B$30,MATCH($A468,'Attandance Tracker'!$A$3:$A$30,0)),"")</f>
        <v xml:space="preserve"> Mohit</v>
      </c>
      <c r="C468" s="14" t="str">
        <f>_xlfn.IFNA(INDEX('Attandance Tracker'!$C$3:$C$30,MATCH($A468,'Attandance Tracker'!$A$3:$A$30,0)),"")</f>
        <v>Sales</v>
      </c>
      <c r="D468" s="14">
        <v>31</v>
      </c>
      <c r="E468" s="7">
        <v>0.375</v>
      </c>
      <c r="F468" s="7">
        <v>0.79166666666666663</v>
      </c>
      <c r="G468" s="7">
        <f t="shared" si="23"/>
        <v>0.33333333333333331</v>
      </c>
      <c r="H468" s="7">
        <f t="shared" si="24"/>
        <v>8.3333333333333315E-2</v>
      </c>
      <c r="I468" t="str">
        <f>IFERROR(IF(INDEX('Attandance Tracker'!$D$3:$AH$50,MATCH($A468,'Attandance Tracker'!$A$3:$A$50,0),DAY($D468))="P","Present",IF(INDEX('Attandance Tracker'!$D$3:$AH$50,MATCH($A468,'Attandance Tracker'!$A$3:$A$50,0),DAY($D468))="A","Absent","Leave")),"")</f>
        <v>Present</v>
      </c>
    </row>
    <row r="469" spans="1:9" x14ac:dyDescent="0.25">
      <c r="A469">
        <v>1016</v>
      </c>
      <c r="B469" t="str">
        <f>_xlfn.IFNA(INDEX('Attandance Tracker'!$B$3:$B$30,MATCH($A469,'Attandance Tracker'!$A$3:$A$30,0)),"")</f>
        <v xml:space="preserve"> Nisha</v>
      </c>
      <c r="C469" s="14" t="str">
        <f>_xlfn.IFNA(INDEX('Attandance Tracker'!$C$3:$C$30,MATCH($A469,'Attandance Tracker'!$A$3:$A$30,0)),"")</f>
        <v>Sales</v>
      </c>
      <c r="D469" s="14">
        <v>1</v>
      </c>
      <c r="E469" s="7">
        <v>0.375</v>
      </c>
      <c r="F469" s="7">
        <v>0.83333333333333337</v>
      </c>
      <c r="G469" s="7">
        <f t="shared" si="23"/>
        <v>0.33333333333333331</v>
      </c>
      <c r="H469" s="7">
        <f t="shared" si="24"/>
        <v>0.12500000000000006</v>
      </c>
      <c r="I469" t="str">
        <f>IFERROR(IF(INDEX('Attandance Tracker'!$D$3:$AH$50,MATCH($A469,'Attandance Tracker'!$A$3:$A$50,0),DAY($D469))="P","Present",IF(INDEX('Attandance Tracker'!$D$3:$AH$50,MATCH($A469,'Attandance Tracker'!$A$3:$A$50,0),DAY($D469))="A","Absent","Leave")),"")</f>
        <v>Present</v>
      </c>
    </row>
    <row r="470" spans="1:9" x14ac:dyDescent="0.25">
      <c r="A470">
        <v>1016</v>
      </c>
      <c r="B470" t="str">
        <f>_xlfn.IFNA(INDEX('Attandance Tracker'!$B$3:$B$30,MATCH($A470,'Attandance Tracker'!$A$3:$A$30,0)),"")</f>
        <v xml:space="preserve"> Nisha</v>
      </c>
      <c r="C470" s="14" t="str">
        <f>_xlfn.IFNA(INDEX('Attandance Tracker'!$C$3:$C$30,MATCH($A470,'Attandance Tracker'!$A$3:$A$30,0)),"")</f>
        <v>Sales</v>
      </c>
      <c r="D470" s="14">
        <v>2</v>
      </c>
      <c r="E470" s="7">
        <v>0.375</v>
      </c>
      <c r="F470" s="7">
        <v>0.75</v>
      </c>
      <c r="G470" s="7">
        <f t="shared" si="23"/>
        <v>0.33333333333333331</v>
      </c>
      <c r="H470" s="7">
        <f t="shared" si="24"/>
        <v>4.1666666666666685E-2</v>
      </c>
      <c r="I470" t="str">
        <f>IFERROR(IF(INDEX('Attandance Tracker'!$D$3:$AH$50,MATCH($A470,'Attandance Tracker'!$A$3:$A$50,0),DAY($D470))="P","Present",IF(INDEX('Attandance Tracker'!$D$3:$AH$50,MATCH($A470,'Attandance Tracker'!$A$3:$A$50,0),DAY($D470))="A","Absent","Leave")),"")</f>
        <v>Present</v>
      </c>
    </row>
    <row r="471" spans="1:9" x14ac:dyDescent="0.25">
      <c r="A471">
        <v>1016</v>
      </c>
      <c r="B471" t="str">
        <f>_xlfn.IFNA(INDEX('Attandance Tracker'!$B$3:$B$30,MATCH($A471,'Attandance Tracker'!$A$3:$A$30,0)),"")</f>
        <v xml:space="preserve"> Nisha</v>
      </c>
      <c r="C471" s="14" t="str">
        <f>_xlfn.IFNA(INDEX('Attandance Tracker'!$C$3:$C$30,MATCH($A471,'Attandance Tracker'!$A$3:$A$30,0)),"")</f>
        <v>Sales</v>
      </c>
      <c r="D471" s="14">
        <v>3</v>
      </c>
      <c r="E471" s="7">
        <v>0.33333333333333331</v>
      </c>
      <c r="F471" s="7">
        <v>0.83333333333333337</v>
      </c>
      <c r="G471" s="7">
        <f t="shared" si="23"/>
        <v>0.33333333333333331</v>
      </c>
      <c r="H471" s="7">
        <f t="shared" si="24"/>
        <v>0.16666666666666669</v>
      </c>
      <c r="I471" t="str">
        <f>IFERROR(IF(INDEX('Attandance Tracker'!$D$3:$AH$50,MATCH($A471,'Attandance Tracker'!$A$3:$A$50,0),DAY($D471))="P","Present",IF(INDEX('Attandance Tracker'!$D$3:$AH$50,MATCH($A471,'Attandance Tracker'!$A$3:$A$50,0),DAY($D471))="A","Absent","Leave")),"")</f>
        <v>Present</v>
      </c>
    </row>
    <row r="472" spans="1:9" x14ac:dyDescent="0.25">
      <c r="A472">
        <v>1016</v>
      </c>
      <c r="B472" t="str">
        <f>_xlfn.IFNA(INDEX('Attandance Tracker'!$B$3:$B$30,MATCH($A472,'Attandance Tracker'!$A$3:$A$30,0)),"")</f>
        <v xml:space="preserve"> Nisha</v>
      </c>
      <c r="C472" s="14" t="str">
        <f>_xlfn.IFNA(INDEX('Attandance Tracker'!$C$3:$C$30,MATCH($A472,'Attandance Tracker'!$A$3:$A$30,0)),"")</f>
        <v>Sales</v>
      </c>
      <c r="D472" s="14">
        <v>4</v>
      </c>
      <c r="E472" s="7">
        <v>0.33333333333333331</v>
      </c>
      <c r="F472" s="7">
        <v>0.83333333333333337</v>
      </c>
      <c r="G472" s="7">
        <f t="shared" si="23"/>
        <v>0.33333333333333331</v>
      </c>
      <c r="H472" s="7">
        <f t="shared" si="24"/>
        <v>0.16666666666666669</v>
      </c>
      <c r="I472" t="str">
        <f>IFERROR(IF(INDEX('Attandance Tracker'!$D$3:$AH$50,MATCH($A472,'Attandance Tracker'!$A$3:$A$50,0),DAY($D472))="P","Present",IF(INDEX('Attandance Tracker'!$D$3:$AH$50,MATCH($A472,'Attandance Tracker'!$A$3:$A$50,0),DAY($D472))="A","Absent","Leave")),"")</f>
        <v>Present</v>
      </c>
    </row>
    <row r="473" spans="1:9" x14ac:dyDescent="0.25">
      <c r="A473">
        <v>1016</v>
      </c>
      <c r="B473" t="str">
        <f>_xlfn.IFNA(INDEX('Attandance Tracker'!$B$3:$B$30,MATCH($A473,'Attandance Tracker'!$A$3:$A$30,0)),"")</f>
        <v xml:space="preserve"> Nisha</v>
      </c>
      <c r="C473" s="14" t="str">
        <f>_xlfn.IFNA(INDEX('Attandance Tracker'!$C$3:$C$30,MATCH($A473,'Attandance Tracker'!$A$3:$A$30,0)),"")</f>
        <v>Sales</v>
      </c>
      <c r="D473" s="14">
        <v>5</v>
      </c>
      <c r="E473" s="7">
        <v>0.33333333333333331</v>
      </c>
      <c r="F473" s="7">
        <v>0.79166666666666663</v>
      </c>
      <c r="G473" s="7">
        <f t="shared" si="23"/>
        <v>0.33333333333333331</v>
      </c>
      <c r="H473" s="7">
        <f t="shared" si="24"/>
        <v>0.125</v>
      </c>
      <c r="I473" t="str">
        <f>IFERROR(IF(INDEX('Attandance Tracker'!$D$3:$AH$50,MATCH($A473,'Attandance Tracker'!$A$3:$A$50,0),DAY($D473))="P","Present",IF(INDEX('Attandance Tracker'!$D$3:$AH$50,MATCH($A473,'Attandance Tracker'!$A$3:$A$50,0),DAY($D473))="A","Absent","Leave")),"")</f>
        <v>Present</v>
      </c>
    </row>
    <row r="474" spans="1:9" x14ac:dyDescent="0.25">
      <c r="A474">
        <v>1016</v>
      </c>
      <c r="B474" t="str">
        <f>_xlfn.IFNA(INDEX('Attandance Tracker'!$B$3:$B$30,MATCH($A474,'Attandance Tracker'!$A$3:$A$30,0)),"")</f>
        <v xml:space="preserve"> Nisha</v>
      </c>
      <c r="C474" s="14" t="str">
        <f>_xlfn.IFNA(INDEX('Attandance Tracker'!$C$3:$C$30,MATCH($A474,'Attandance Tracker'!$A$3:$A$30,0)),"")</f>
        <v>Sales</v>
      </c>
      <c r="D474" s="14">
        <v>6</v>
      </c>
      <c r="E474" s="7">
        <v>0.33333333333333331</v>
      </c>
      <c r="F474" s="7">
        <v>0.83333333333333337</v>
      </c>
      <c r="G474" s="7">
        <f t="shared" si="23"/>
        <v>0.33333333333333331</v>
      </c>
      <c r="H474" s="7">
        <f t="shared" si="24"/>
        <v>0.16666666666666669</v>
      </c>
      <c r="I474" t="str">
        <f>IFERROR(IF(INDEX('Attandance Tracker'!$D$3:$AH$50,MATCH($A474,'Attandance Tracker'!$A$3:$A$50,0),DAY($D474))="P","Present",IF(INDEX('Attandance Tracker'!$D$3:$AH$50,MATCH($A474,'Attandance Tracker'!$A$3:$A$50,0),DAY($D474))="A","Absent","Leave")),"")</f>
        <v>Present</v>
      </c>
    </row>
    <row r="475" spans="1:9" x14ac:dyDescent="0.25">
      <c r="A475">
        <v>1016</v>
      </c>
      <c r="B475" t="str">
        <f>_xlfn.IFNA(INDEX('Attandance Tracker'!$B$3:$B$30,MATCH($A475,'Attandance Tracker'!$A$3:$A$30,0)),"")</f>
        <v xml:space="preserve"> Nisha</v>
      </c>
      <c r="C475" s="14" t="str">
        <f>_xlfn.IFNA(INDEX('Attandance Tracker'!$C$3:$C$30,MATCH($A475,'Attandance Tracker'!$A$3:$A$30,0)),"")</f>
        <v>Sales</v>
      </c>
      <c r="D475" s="14">
        <v>7</v>
      </c>
      <c r="E475" s="7">
        <v>0.33333333333333331</v>
      </c>
      <c r="F475" s="7">
        <v>0.75</v>
      </c>
      <c r="G475" s="7">
        <f t="shared" si="23"/>
        <v>0.33333333333333331</v>
      </c>
      <c r="H475" s="7">
        <f t="shared" si="24"/>
        <v>8.333333333333337E-2</v>
      </c>
      <c r="I475" t="str">
        <f>IFERROR(IF(INDEX('Attandance Tracker'!$D$3:$AH$50,MATCH($A475,'Attandance Tracker'!$A$3:$A$50,0),DAY($D475))="P","Present",IF(INDEX('Attandance Tracker'!$D$3:$AH$50,MATCH($A475,'Attandance Tracker'!$A$3:$A$50,0),DAY($D475))="A","Absent","Leave")),"")</f>
        <v>Present</v>
      </c>
    </row>
    <row r="476" spans="1:9" x14ac:dyDescent="0.25">
      <c r="A476">
        <v>1016</v>
      </c>
      <c r="B476" t="str">
        <f>_xlfn.IFNA(INDEX('Attandance Tracker'!$B$3:$B$30,MATCH($A476,'Attandance Tracker'!$A$3:$A$30,0)),"")</f>
        <v xml:space="preserve"> Nisha</v>
      </c>
      <c r="C476" s="14" t="str">
        <f>_xlfn.IFNA(INDEX('Attandance Tracker'!$C$3:$C$30,MATCH($A476,'Attandance Tracker'!$A$3:$A$30,0)),"")</f>
        <v>Sales</v>
      </c>
      <c r="D476" s="14">
        <v>8</v>
      </c>
      <c r="E476" s="7">
        <v>0.33333333333333331</v>
      </c>
      <c r="F476" s="7">
        <v>0.83333333333333337</v>
      </c>
      <c r="G476" s="7">
        <f t="shared" si="23"/>
        <v>0.33333333333333331</v>
      </c>
      <c r="H476" s="7">
        <f t="shared" si="24"/>
        <v>0.16666666666666669</v>
      </c>
      <c r="I476" t="str">
        <f>IFERROR(IF(INDEX('Attandance Tracker'!$D$3:$AH$50,MATCH($A476,'Attandance Tracker'!$A$3:$A$50,0),DAY($D476))="P","Present",IF(INDEX('Attandance Tracker'!$D$3:$AH$50,MATCH($A476,'Attandance Tracker'!$A$3:$A$50,0),DAY($D476))="A","Absent","Leave")),"")</f>
        <v>Present</v>
      </c>
    </row>
    <row r="477" spans="1:9" x14ac:dyDescent="0.25">
      <c r="A477">
        <v>1016</v>
      </c>
      <c r="B477" t="str">
        <f>_xlfn.IFNA(INDEX('Attandance Tracker'!$B$3:$B$30,MATCH($A477,'Attandance Tracker'!$A$3:$A$30,0)),"")</f>
        <v xml:space="preserve"> Nisha</v>
      </c>
      <c r="C477" s="14" t="str">
        <f>_xlfn.IFNA(INDEX('Attandance Tracker'!$C$3:$C$30,MATCH($A477,'Attandance Tracker'!$A$3:$A$30,0)),"")</f>
        <v>Sales</v>
      </c>
      <c r="D477" s="14">
        <v>9</v>
      </c>
      <c r="E477" s="7">
        <v>0.33333333333333331</v>
      </c>
      <c r="F477" s="7">
        <v>0.83333333333333337</v>
      </c>
      <c r="G477" s="7">
        <f t="shared" si="23"/>
        <v>0.33333333333333331</v>
      </c>
      <c r="H477" s="7">
        <f t="shared" si="24"/>
        <v>0.16666666666666669</v>
      </c>
      <c r="I477" t="str">
        <f>IFERROR(IF(INDEX('Attandance Tracker'!$D$3:$AH$50,MATCH($A477,'Attandance Tracker'!$A$3:$A$50,0),DAY($D477))="P","Present",IF(INDEX('Attandance Tracker'!$D$3:$AH$50,MATCH($A477,'Attandance Tracker'!$A$3:$A$50,0),DAY($D477))="A","Absent","Leave")),"")</f>
        <v>Present</v>
      </c>
    </row>
    <row r="478" spans="1:9" x14ac:dyDescent="0.25">
      <c r="A478">
        <v>1016</v>
      </c>
      <c r="B478" t="str">
        <f>_xlfn.IFNA(INDEX('Attandance Tracker'!$B$3:$B$30,MATCH($A478,'Attandance Tracker'!$A$3:$A$30,0)),"")</f>
        <v xml:space="preserve"> Nisha</v>
      </c>
      <c r="C478" s="14" t="str">
        <f>_xlfn.IFNA(INDEX('Attandance Tracker'!$C$3:$C$30,MATCH($A478,'Attandance Tracker'!$A$3:$A$30,0)),"")</f>
        <v>Sales</v>
      </c>
      <c r="D478" s="14">
        <v>10</v>
      </c>
      <c r="E478" s="7">
        <v>0.375</v>
      </c>
      <c r="F478" s="7">
        <v>0.83333333333333337</v>
      </c>
      <c r="G478" s="7">
        <f t="shared" si="23"/>
        <v>0.33333333333333331</v>
      </c>
      <c r="H478" s="7">
        <f t="shared" si="24"/>
        <v>0.12500000000000006</v>
      </c>
      <c r="I478" t="str">
        <f>IFERROR(IF(INDEX('Attandance Tracker'!$D$3:$AH$50,MATCH($A478,'Attandance Tracker'!$A$3:$A$50,0),DAY($D478))="P","Present",IF(INDEX('Attandance Tracker'!$D$3:$AH$50,MATCH($A478,'Attandance Tracker'!$A$3:$A$50,0),DAY($D478))="A","Absent","Leave")),"")</f>
        <v>Present</v>
      </c>
    </row>
    <row r="479" spans="1:9" x14ac:dyDescent="0.25">
      <c r="A479">
        <v>1016</v>
      </c>
      <c r="B479" t="str">
        <f>_xlfn.IFNA(INDEX('Attandance Tracker'!$B$3:$B$30,MATCH($A479,'Attandance Tracker'!$A$3:$A$30,0)),"")</f>
        <v xml:space="preserve"> Nisha</v>
      </c>
      <c r="C479" s="14" t="str">
        <f>_xlfn.IFNA(INDEX('Attandance Tracker'!$C$3:$C$30,MATCH($A479,'Attandance Tracker'!$A$3:$A$30,0)),"")</f>
        <v>Sales</v>
      </c>
      <c r="D479" s="14">
        <v>11</v>
      </c>
      <c r="E479" s="7">
        <v>0.375</v>
      </c>
      <c r="F479" s="7">
        <v>0.79166666666666663</v>
      </c>
      <c r="G479" s="7">
        <f t="shared" si="23"/>
        <v>0.33333333333333331</v>
      </c>
      <c r="H479" s="7">
        <f t="shared" si="24"/>
        <v>8.3333333333333315E-2</v>
      </c>
      <c r="I479" t="str">
        <f>IFERROR(IF(INDEX('Attandance Tracker'!$D$3:$AH$50,MATCH($A479,'Attandance Tracker'!$A$3:$A$50,0),DAY($D479))="P","Present",IF(INDEX('Attandance Tracker'!$D$3:$AH$50,MATCH($A479,'Attandance Tracker'!$A$3:$A$50,0),DAY($D479))="A","Absent","Leave")),"")</f>
        <v>Present</v>
      </c>
    </row>
    <row r="480" spans="1:9" x14ac:dyDescent="0.25">
      <c r="A480">
        <v>1016</v>
      </c>
      <c r="B480" t="str">
        <f>_xlfn.IFNA(INDEX('Attandance Tracker'!$B$3:$B$30,MATCH($A480,'Attandance Tracker'!$A$3:$A$30,0)),"")</f>
        <v xml:space="preserve"> Nisha</v>
      </c>
      <c r="C480" s="14" t="str">
        <f>_xlfn.IFNA(INDEX('Attandance Tracker'!$C$3:$C$30,MATCH($A480,'Attandance Tracker'!$A$3:$A$30,0)),"")</f>
        <v>Sales</v>
      </c>
      <c r="D480" s="14">
        <v>12</v>
      </c>
      <c r="E480" s="7">
        <v>0.33333333333333331</v>
      </c>
      <c r="F480" s="7">
        <v>0.83333333333333337</v>
      </c>
      <c r="G480" s="7">
        <f t="shared" si="23"/>
        <v>0.33333333333333331</v>
      </c>
      <c r="H480" s="7">
        <f t="shared" si="24"/>
        <v>0.16666666666666669</v>
      </c>
      <c r="I480" t="str">
        <f>IFERROR(IF(INDEX('Attandance Tracker'!$D$3:$AH$50,MATCH($A480,'Attandance Tracker'!$A$3:$A$50,0),DAY($D480))="P","Present",IF(INDEX('Attandance Tracker'!$D$3:$AH$50,MATCH($A480,'Attandance Tracker'!$A$3:$A$50,0),DAY($D480))="A","Absent","Leave")),"")</f>
        <v>Present</v>
      </c>
    </row>
    <row r="481" spans="1:9" x14ac:dyDescent="0.25">
      <c r="A481">
        <v>1016</v>
      </c>
      <c r="B481" t="str">
        <f>_xlfn.IFNA(INDEX('Attandance Tracker'!$B$3:$B$30,MATCH($A481,'Attandance Tracker'!$A$3:$A$30,0)),"")</f>
        <v xml:space="preserve"> Nisha</v>
      </c>
      <c r="C481" s="14" t="str">
        <f>_xlfn.IFNA(INDEX('Attandance Tracker'!$C$3:$C$30,MATCH($A481,'Attandance Tracker'!$A$3:$A$30,0)),"")</f>
        <v>Sales</v>
      </c>
      <c r="D481" s="14">
        <v>13</v>
      </c>
      <c r="E481" s="7">
        <v>0.375</v>
      </c>
      <c r="F481" s="7">
        <v>0.75</v>
      </c>
      <c r="G481" s="7">
        <f t="shared" si="23"/>
        <v>0.33333333333333331</v>
      </c>
      <c r="H481" s="7">
        <f t="shared" si="24"/>
        <v>4.1666666666666685E-2</v>
      </c>
      <c r="I481" t="str">
        <f>IFERROR(IF(INDEX('Attandance Tracker'!$D$3:$AH$50,MATCH($A481,'Attandance Tracker'!$A$3:$A$50,0),DAY($D481))="P","Present",IF(INDEX('Attandance Tracker'!$D$3:$AH$50,MATCH($A481,'Attandance Tracker'!$A$3:$A$50,0),DAY($D481))="A","Absent","Leave")),"")</f>
        <v>Present</v>
      </c>
    </row>
    <row r="482" spans="1:9" x14ac:dyDescent="0.25">
      <c r="A482">
        <v>1016</v>
      </c>
      <c r="B482" t="str">
        <f>_xlfn.IFNA(INDEX('Attandance Tracker'!$B$3:$B$30,MATCH($A482,'Attandance Tracker'!$A$3:$A$30,0)),"")</f>
        <v xml:space="preserve"> Nisha</v>
      </c>
      <c r="C482" s="14" t="str">
        <f>_xlfn.IFNA(INDEX('Attandance Tracker'!$C$3:$C$30,MATCH($A482,'Attandance Tracker'!$A$3:$A$30,0)),"")</f>
        <v>Sales</v>
      </c>
      <c r="D482" s="14">
        <v>14</v>
      </c>
      <c r="E482" s="7">
        <v>0.375</v>
      </c>
      <c r="F482" s="7">
        <v>0.83333333333333337</v>
      </c>
      <c r="G482" s="7">
        <f t="shared" si="23"/>
        <v>0.33333333333333331</v>
      </c>
      <c r="H482" s="7">
        <f t="shared" si="24"/>
        <v>0.12500000000000006</v>
      </c>
      <c r="I482" t="str">
        <f>IFERROR(IF(INDEX('Attandance Tracker'!$D$3:$AH$50,MATCH($A482,'Attandance Tracker'!$A$3:$A$50,0),DAY($D482))="P","Present",IF(INDEX('Attandance Tracker'!$D$3:$AH$50,MATCH($A482,'Attandance Tracker'!$A$3:$A$50,0),DAY($D482))="A","Absent","Leave")),"")</f>
        <v>Present</v>
      </c>
    </row>
    <row r="483" spans="1:9" x14ac:dyDescent="0.25">
      <c r="A483">
        <v>1016</v>
      </c>
      <c r="B483" t="str">
        <f>_xlfn.IFNA(INDEX('Attandance Tracker'!$B$3:$B$30,MATCH($A483,'Attandance Tracker'!$A$3:$A$30,0)),"")</f>
        <v xml:space="preserve"> Nisha</v>
      </c>
      <c r="C483" s="14" t="str">
        <f>_xlfn.IFNA(INDEX('Attandance Tracker'!$C$3:$C$30,MATCH($A483,'Attandance Tracker'!$A$3:$A$30,0)),"")</f>
        <v>Sales</v>
      </c>
      <c r="D483" s="14">
        <v>15</v>
      </c>
      <c r="E483" s="7">
        <v>0.375</v>
      </c>
      <c r="F483" s="7">
        <v>0.83333333333333337</v>
      </c>
      <c r="G483" s="7">
        <f t="shared" si="23"/>
        <v>0.33333333333333331</v>
      </c>
      <c r="H483" s="7">
        <f t="shared" si="24"/>
        <v>0.12500000000000006</v>
      </c>
      <c r="I483" t="str">
        <f>IFERROR(IF(INDEX('Attandance Tracker'!$D$3:$AH$50,MATCH($A483,'Attandance Tracker'!$A$3:$A$50,0),DAY($D483))="P","Present",IF(INDEX('Attandance Tracker'!$D$3:$AH$50,MATCH($A483,'Attandance Tracker'!$A$3:$A$50,0),DAY($D483))="A","Absent","Leave")),"")</f>
        <v>Present</v>
      </c>
    </row>
    <row r="484" spans="1:9" x14ac:dyDescent="0.25">
      <c r="A484">
        <v>1016</v>
      </c>
      <c r="B484" t="str">
        <f>_xlfn.IFNA(INDEX('Attandance Tracker'!$B$3:$B$30,MATCH($A484,'Attandance Tracker'!$A$3:$A$30,0)),"")</f>
        <v xml:space="preserve"> Nisha</v>
      </c>
      <c r="C484" s="14" t="str">
        <f>_xlfn.IFNA(INDEX('Attandance Tracker'!$C$3:$C$30,MATCH($A484,'Attandance Tracker'!$A$3:$A$30,0)),"")</f>
        <v>Sales</v>
      </c>
      <c r="D484" s="14">
        <v>16</v>
      </c>
      <c r="E484" s="7">
        <v>0.33333333333333331</v>
      </c>
      <c r="F484" s="7">
        <v>0.79166666666666663</v>
      </c>
      <c r="G484" s="7">
        <f t="shared" si="23"/>
        <v>0.33333333333333331</v>
      </c>
      <c r="H484" s="7">
        <f t="shared" si="24"/>
        <v>0.125</v>
      </c>
      <c r="I484" t="str">
        <f>IFERROR(IF(INDEX('Attandance Tracker'!$D$3:$AH$50,MATCH($A484,'Attandance Tracker'!$A$3:$A$50,0),DAY($D484))="P","Present",IF(INDEX('Attandance Tracker'!$D$3:$AH$50,MATCH($A484,'Attandance Tracker'!$A$3:$A$50,0),DAY($D484))="A","Absent","Leave")),"")</f>
        <v>Present</v>
      </c>
    </row>
    <row r="485" spans="1:9" x14ac:dyDescent="0.25">
      <c r="A485">
        <v>1016</v>
      </c>
      <c r="B485" t="str">
        <f>_xlfn.IFNA(INDEX('Attandance Tracker'!$B$3:$B$30,MATCH($A485,'Attandance Tracker'!$A$3:$A$30,0)),"")</f>
        <v xml:space="preserve"> Nisha</v>
      </c>
      <c r="C485" s="14" t="str">
        <f>_xlfn.IFNA(INDEX('Attandance Tracker'!$C$3:$C$30,MATCH($A485,'Attandance Tracker'!$A$3:$A$30,0)),"")</f>
        <v>Sales</v>
      </c>
      <c r="D485" s="14">
        <v>17</v>
      </c>
      <c r="E485" s="7">
        <v>0.33333333333333331</v>
      </c>
      <c r="F485" s="7">
        <v>0.83333333333333337</v>
      </c>
      <c r="G485" s="7">
        <f t="shared" si="23"/>
        <v>0.33333333333333331</v>
      </c>
      <c r="H485" s="7">
        <f t="shared" si="24"/>
        <v>0.16666666666666669</v>
      </c>
      <c r="I485" t="str">
        <f>IFERROR(IF(INDEX('Attandance Tracker'!$D$3:$AH$50,MATCH($A485,'Attandance Tracker'!$A$3:$A$50,0),DAY($D485))="P","Present",IF(INDEX('Attandance Tracker'!$D$3:$AH$50,MATCH($A485,'Attandance Tracker'!$A$3:$A$50,0),DAY($D485))="A","Absent","Leave")),"")</f>
        <v>Present</v>
      </c>
    </row>
    <row r="486" spans="1:9" x14ac:dyDescent="0.25">
      <c r="A486">
        <v>1016</v>
      </c>
      <c r="B486" t="str">
        <f>_xlfn.IFNA(INDEX('Attandance Tracker'!$B$3:$B$30,MATCH($A486,'Attandance Tracker'!$A$3:$A$30,0)),"")</f>
        <v xml:space="preserve"> Nisha</v>
      </c>
      <c r="C486" s="14" t="str">
        <f>_xlfn.IFNA(INDEX('Attandance Tracker'!$C$3:$C$30,MATCH($A486,'Attandance Tracker'!$A$3:$A$30,0)),"")</f>
        <v>Sales</v>
      </c>
      <c r="D486" s="14">
        <v>18</v>
      </c>
      <c r="E486" s="7">
        <v>0.375</v>
      </c>
      <c r="F486" s="7">
        <v>0.75</v>
      </c>
      <c r="G486" s="7">
        <f t="shared" si="23"/>
        <v>0.33333333333333331</v>
      </c>
      <c r="H486" s="7">
        <f t="shared" si="24"/>
        <v>4.1666666666666685E-2</v>
      </c>
      <c r="I486" t="str">
        <f>IFERROR(IF(INDEX('Attandance Tracker'!$D$3:$AH$50,MATCH($A486,'Attandance Tracker'!$A$3:$A$50,0),DAY($D486))="P","Present",IF(INDEX('Attandance Tracker'!$D$3:$AH$50,MATCH($A486,'Attandance Tracker'!$A$3:$A$50,0),DAY($D486))="A","Absent","Leave")),"")</f>
        <v>Present</v>
      </c>
    </row>
    <row r="487" spans="1:9" x14ac:dyDescent="0.25">
      <c r="A487">
        <v>1016</v>
      </c>
      <c r="B487" t="str">
        <f>_xlfn.IFNA(INDEX('Attandance Tracker'!$B$3:$B$30,MATCH($A487,'Attandance Tracker'!$A$3:$A$30,0)),"")</f>
        <v xml:space="preserve"> Nisha</v>
      </c>
      <c r="C487" s="14" t="str">
        <f>_xlfn.IFNA(INDEX('Attandance Tracker'!$C$3:$C$30,MATCH($A487,'Attandance Tracker'!$A$3:$A$30,0)),"")</f>
        <v>Sales</v>
      </c>
      <c r="D487" s="14">
        <v>19</v>
      </c>
      <c r="E487" s="7">
        <v>0.375</v>
      </c>
      <c r="F487" s="7">
        <v>0.83333333333333337</v>
      </c>
      <c r="G487" s="7">
        <f t="shared" si="23"/>
        <v>0.33333333333333331</v>
      </c>
      <c r="H487" s="7">
        <f t="shared" si="24"/>
        <v>0.12500000000000006</v>
      </c>
      <c r="I487" t="str">
        <f>IFERROR(IF(INDEX('Attandance Tracker'!$D$3:$AH$50,MATCH($A487,'Attandance Tracker'!$A$3:$A$50,0),DAY($D487))="P","Present",IF(INDEX('Attandance Tracker'!$D$3:$AH$50,MATCH($A487,'Attandance Tracker'!$A$3:$A$50,0),DAY($D487))="A","Absent","Leave")),"")</f>
        <v>Present</v>
      </c>
    </row>
    <row r="488" spans="1:9" x14ac:dyDescent="0.25">
      <c r="A488">
        <v>1016</v>
      </c>
      <c r="B488" t="str">
        <f>_xlfn.IFNA(INDEX('Attandance Tracker'!$B$3:$B$30,MATCH($A488,'Attandance Tracker'!$A$3:$A$30,0)),"")</f>
        <v xml:space="preserve"> Nisha</v>
      </c>
      <c r="C488" s="14" t="str">
        <f>_xlfn.IFNA(INDEX('Attandance Tracker'!$C$3:$C$30,MATCH($A488,'Attandance Tracker'!$A$3:$A$30,0)),"")</f>
        <v>Sales</v>
      </c>
      <c r="D488" s="14">
        <v>20</v>
      </c>
      <c r="E488" s="7">
        <v>0.375</v>
      </c>
      <c r="F488" s="7">
        <v>0.83333333333333337</v>
      </c>
      <c r="G488" s="7">
        <f t="shared" si="23"/>
        <v>0.33333333333333331</v>
      </c>
      <c r="H488" s="7">
        <f t="shared" si="24"/>
        <v>0.12500000000000006</v>
      </c>
      <c r="I488" t="str">
        <f>IFERROR(IF(INDEX('Attandance Tracker'!$D$3:$AH$50,MATCH($A488,'Attandance Tracker'!$A$3:$A$50,0),DAY($D488))="P","Present",IF(INDEX('Attandance Tracker'!$D$3:$AH$50,MATCH($A488,'Attandance Tracker'!$A$3:$A$50,0),DAY($D488))="A","Absent","Leave")),"")</f>
        <v>Present</v>
      </c>
    </row>
    <row r="489" spans="1:9" x14ac:dyDescent="0.25">
      <c r="A489">
        <v>1016</v>
      </c>
      <c r="B489" t="str">
        <f>_xlfn.IFNA(INDEX('Attandance Tracker'!$B$3:$B$30,MATCH($A489,'Attandance Tracker'!$A$3:$A$30,0)),"")</f>
        <v xml:space="preserve"> Nisha</v>
      </c>
      <c r="C489" s="14" t="str">
        <f>_xlfn.IFNA(INDEX('Attandance Tracker'!$C$3:$C$30,MATCH($A489,'Attandance Tracker'!$A$3:$A$30,0)),"")</f>
        <v>Sales</v>
      </c>
      <c r="D489" s="14">
        <v>21</v>
      </c>
      <c r="E489" s="7">
        <v>0.33333333333333331</v>
      </c>
      <c r="F489" s="7">
        <v>0.79166666666666663</v>
      </c>
      <c r="G489" s="7">
        <f t="shared" si="23"/>
        <v>0.33333333333333331</v>
      </c>
      <c r="H489" s="7">
        <f t="shared" si="24"/>
        <v>0.125</v>
      </c>
      <c r="I489" t="str">
        <f>IFERROR(IF(INDEX('Attandance Tracker'!$D$3:$AH$50,MATCH($A489,'Attandance Tracker'!$A$3:$A$50,0),DAY($D489))="P","Present",IF(INDEX('Attandance Tracker'!$D$3:$AH$50,MATCH($A489,'Attandance Tracker'!$A$3:$A$50,0),DAY($D489))="A","Absent","Leave")),"")</f>
        <v>Present</v>
      </c>
    </row>
    <row r="490" spans="1:9" x14ac:dyDescent="0.25">
      <c r="A490">
        <v>1016</v>
      </c>
      <c r="B490" t="str">
        <f>_xlfn.IFNA(INDEX('Attandance Tracker'!$B$3:$B$30,MATCH($A490,'Attandance Tracker'!$A$3:$A$30,0)),"")</f>
        <v xml:space="preserve"> Nisha</v>
      </c>
      <c r="C490" s="14" t="str">
        <f>_xlfn.IFNA(INDEX('Attandance Tracker'!$C$3:$C$30,MATCH($A490,'Attandance Tracker'!$A$3:$A$30,0)),"")</f>
        <v>Sales</v>
      </c>
      <c r="D490" s="14">
        <v>22</v>
      </c>
      <c r="E490" s="7">
        <v>0.33333333333333331</v>
      </c>
      <c r="F490" s="7">
        <v>0.83333333333333337</v>
      </c>
      <c r="G490" s="7">
        <f t="shared" si="23"/>
        <v>0.33333333333333331</v>
      </c>
      <c r="H490" s="7">
        <f t="shared" si="24"/>
        <v>0.16666666666666669</v>
      </c>
      <c r="I490" t="str">
        <f>IFERROR(IF(INDEX('Attandance Tracker'!$D$3:$AH$50,MATCH($A490,'Attandance Tracker'!$A$3:$A$50,0),DAY($D490))="P","Present",IF(INDEX('Attandance Tracker'!$D$3:$AH$50,MATCH($A490,'Attandance Tracker'!$A$3:$A$50,0),DAY($D490))="A","Absent","Leave")),"")</f>
        <v>Present</v>
      </c>
    </row>
    <row r="491" spans="1:9" x14ac:dyDescent="0.25">
      <c r="A491">
        <v>1016</v>
      </c>
      <c r="B491" t="str">
        <f>_xlfn.IFNA(INDEX('Attandance Tracker'!$B$3:$B$30,MATCH($A491,'Attandance Tracker'!$A$3:$A$30,0)),"")</f>
        <v xml:space="preserve"> Nisha</v>
      </c>
      <c r="C491" s="14" t="str">
        <f>_xlfn.IFNA(INDEX('Attandance Tracker'!$C$3:$C$30,MATCH($A491,'Attandance Tracker'!$A$3:$A$30,0)),"")</f>
        <v>Sales</v>
      </c>
      <c r="D491" s="14">
        <v>23</v>
      </c>
      <c r="E491" s="7">
        <v>0.33333333333333331</v>
      </c>
      <c r="F491" s="7">
        <v>0.75</v>
      </c>
      <c r="G491" s="7">
        <f t="shared" si="23"/>
        <v>0.33333333333333331</v>
      </c>
      <c r="H491" s="7">
        <f t="shared" si="24"/>
        <v>8.333333333333337E-2</v>
      </c>
      <c r="I491" t="str">
        <f>IFERROR(IF(INDEX('Attandance Tracker'!$D$3:$AH$50,MATCH($A491,'Attandance Tracker'!$A$3:$A$50,0),DAY($D491))="P","Present",IF(INDEX('Attandance Tracker'!$D$3:$AH$50,MATCH($A491,'Attandance Tracker'!$A$3:$A$50,0),DAY($D491))="A","Absent","Leave")),"")</f>
        <v>Present</v>
      </c>
    </row>
    <row r="492" spans="1:9" x14ac:dyDescent="0.25">
      <c r="A492">
        <v>1016</v>
      </c>
      <c r="B492" t="str">
        <f>_xlfn.IFNA(INDEX('Attandance Tracker'!$B$3:$B$30,MATCH($A492,'Attandance Tracker'!$A$3:$A$30,0)),"")</f>
        <v xml:space="preserve"> Nisha</v>
      </c>
      <c r="C492" s="14" t="str">
        <f>_xlfn.IFNA(INDEX('Attandance Tracker'!$C$3:$C$30,MATCH($A492,'Attandance Tracker'!$A$3:$A$30,0)),"")</f>
        <v>Sales</v>
      </c>
      <c r="D492" s="14">
        <v>24</v>
      </c>
      <c r="E492" s="7">
        <v>0.33333333333333331</v>
      </c>
      <c r="F492" s="7">
        <v>0.83333333333333337</v>
      </c>
      <c r="G492" s="7">
        <f t="shared" si="23"/>
        <v>0.33333333333333331</v>
      </c>
      <c r="H492" s="7">
        <f t="shared" si="24"/>
        <v>0.16666666666666669</v>
      </c>
      <c r="I492" t="str">
        <f>IFERROR(IF(INDEX('Attandance Tracker'!$D$3:$AH$50,MATCH($A492,'Attandance Tracker'!$A$3:$A$50,0),DAY($D492))="P","Present",IF(INDEX('Attandance Tracker'!$D$3:$AH$50,MATCH($A492,'Attandance Tracker'!$A$3:$A$50,0),DAY($D492))="A","Absent","Leave")),"")</f>
        <v>Present</v>
      </c>
    </row>
    <row r="493" spans="1:9" x14ac:dyDescent="0.25">
      <c r="A493">
        <v>1016</v>
      </c>
      <c r="B493" t="str">
        <f>_xlfn.IFNA(INDEX('Attandance Tracker'!$B$3:$B$30,MATCH($A493,'Attandance Tracker'!$A$3:$A$30,0)),"")</f>
        <v xml:space="preserve"> Nisha</v>
      </c>
      <c r="C493" s="14" t="str">
        <f>_xlfn.IFNA(INDEX('Attandance Tracker'!$C$3:$C$30,MATCH($A493,'Attandance Tracker'!$A$3:$A$30,0)),"")</f>
        <v>Sales</v>
      </c>
      <c r="D493" s="14">
        <v>25</v>
      </c>
      <c r="E493" s="7">
        <v>0.33333333333333331</v>
      </c>
      <c r="F493" s="7">
        <v>0.83333333333333337</v>
      </c>
      <c r="G493" s="7">
        <f t="shared" si="23"/>
        <v>0.33333333333333331</v>
      </c>
      <c r="H493" s="7">
        <f t="shared" si="24"/>
        <v>0.16666666666666669</v>
      </c>
      <c r="I493" t="str">
        <f>IFERROR(IF(INDEX('Attandance Tracker'!$D$3:$AH$50,MATCH($A493,'Attandance Tracker'!$A$3:$A$50,0),DAY($D493))="P","Present",IF(INDEX('Attandance Tracker'!$D$3:$AH$50,MATCH($A493,'Attandance Tracker'!$A$3:$A$50,0),DAY($D493))="A","Absent","Leave")),"")</f>
        <v>Present</v>
      </c>
    </row>
    <row r="494" spans="1:9" x14ac:dyDescent="0.25">
      <c r="A494">
        <v>1016</v>
      </c>
      <c r="B494" t="str">
        <f>_xlfn.IFNA(INDEX('Attandance Tracker'!$B$3:$B$30,MATCH($A494,'Attandance Tracker'!$A$3:$A$30,0)),"")</f>
        <v xml:space="preserve"> Nisha</v>
      </c>
      <c r="C494" s="14" t="str">
        <f>_xlfn.IFNA(INDEX('Attandance Tracker'!$C$3:$C$30,MATCH($A494,'Attandance Tracker'!$A$3:$A$30,0)),"")</f>
        <v>Sales</v>
      </c>
      <c r="D494" s="14">
        <v>26</v>
      </c>
      <c r="E494" s="7">
        <v>0.33333333333333331</v>
      </c>
      <c r="F494" s="7">
        <v>0.83333333333333337</v>
      </c>
      <c r="G494" s="7">
        <f t="shared" si="23"/>
        <v>0.33333333333333331</v>
      </c>
      <c r="H494" s="7">
        <f t="shared" si="24"/>
        <v>0.16666666666666669</v>
      </c>
      <c r="I494" t="str">
        <f>IFERROR(IF(INDEX('Attandance Tracker'!$D$3:$AH$50,MATCH($A494,'Attandance Tracker'!$A$3:$A$50,0),DAY($D494))="P","Present",IF(INDEX('Attandance Tracker'!$D$3:$AH$50,MATCH($A494,'Attandance Tracker'!$A$3:$A$50,0),DAY($D494))="A","Absent","Leave")),"")</f>
        <v>Present</v>
      </c>
    </row>
    <row r="495" spans="1:9" x14ac:dyDescent="0.25">
      <c r="A495">
        <v>1016</v>
      </c>
      <c r="B495" t="str">
        <f>_xlfn.IFNA(INDEX('Attandance Tracker'!$B$3:$B$30,MATCH($A495,'Attandance Tracker'!$A$3:$A$30,0)),"")</f>
        <v xml:space="preserve"> Nisha</v>
      </c>
      <c r="C495" s="14" t="str">
        <f>_xlfn.IFNA(INDEX('Attandance Tracker'!$C$3:$C$30,MATCH($A495,'Attandance Tracker'!$A$3:$A$30,0)),"")</f>
        <v>Sales</v>
      </c>
      <c r="D495" s="14">
        <v>27</v>
      </c>
      <c r="E495" s="7">
        <v>0.33333333333333331</v>
      </c>
      <c r="F495" s="7">
        <v>0.79166666666666663</v>
      </c>
      <c r="G495" s="7">
        <f t="shared" si="23"/>
        <v>0.33333333333333331</v>
      </c>
      <c r="H495" s="7">
        <f t="shared" si="24"/>
        <v>0.125</v>
      </c>
      <c r="I495" t="str">
        <f>IFERROR(IF(INDEX('Attandance Tracker'!$D$3:$AH$50,MATCH($A495,'Attandance Tracker'!$A$3:$A$50,0),DAY($D495))="P","Present",IF(INDEX('Attandance Tracker'!$D$3:$AH$50,MATCH($A495,'Attandance Tracker'!$A$3:$A$50,0),DAY($D495))="A","Absent","Leave")),"")</f>
        <v>Present</v>
      </c>
    </row>
    <row r="496" spans="1:9" x14ac:dyDescent="0.25">
      <c r="A496">
        <v>1016</v>
      </c>
      <c r="B496" t="str">
        <f>_xlfn.IFNA(INDEX('Attandance Tracker'!$B$3:$B$30,MATCH($A496,'Attandance Tracker'!$A$3:$A$30,0)),"")</f>
        <v xml:space="preserve"> Nisha</v>
      </c>
      <c r="C496" s="14" t="str">
        <f>_xlfn.IFNA(INDEX('Attandance Tracker'!$C$3:$C$30,MATCH($A496,'Attandance Tracker'!$A$3:$A$30,0)),"")</f>
        <v>Sales</v>
      </c>
      <c r="D496" s="14">
        <v>28</v>
      </c>
      <c r="E496" s="7">
        <v>0.375</v>
      </c>
      <c r="F496" s="7">
        <v>0.83333333333333337</v>
      </c>
      <c r="G496" s="7">
        <f t="shared" si="23"/>
        <v>0.33333333333333331</v>
      </c>
      <c r="H496" s="7">
        <f t="shared" si="24"/>
        <v>0.12500000000000006</v>
      </c>
      <c r="I496" t="str">
        <f>IFERROR(IF(INDEX('Attandance Tracker'!$D$3:$AH$50,MATCH($A496,'Attandance Tracker'!$A$3:$A$50,0),DAY($D496))="P","Present",IF(INDEX('Attandance Tracker'!$D$3:$AH$50,MATCH($A496,'Attandance Tracker'!$A$3:$A$50,0),DAY($D496))="A","Absent","Leave")),"")</f>
        <v>Present</v>
      </c>
    </row>
    <row r="497" spans="1:9" x14ac:dyDescent="0.25">
      <c r="A497">
        <v>1016</v>
      </c>
      <c r="B497" t="str">
        <f>_xlfn.IFNA(INDEX('Attandance Tracker'!$B$3:$B$30,MATCH($A497,'Attandance Tracker'!$A$3:$A$30,0)),"")</f>
        <v xml:space="preserve"> Nisha</v>
      </c>
      <c r="C497" s="14" t="str">
        <f>_xlfn.IFNA(INDEX('Attandance Tracker'!$C$3:$C$30,MATCH($A497,'Attandance Tracker'!$A$3:$A$30,0)),"")</f>
        <v>Sales</v>
      </c>
      <c r="D497" s="14">
        <v>29</v>
      </c>
      <c r="E497" s="7">
        <v>0.375</v>
      </c>
      <c r="F497" s="7">
        <v>0.75</v>
      </c>
      <c r="G497" s="7">
        <f t="shared" si="23"/>
        <v>0.33333333333333331</v>
      </c>
      <c r="H497" s="7">
        <f t="shared" si="24"/>
        <v>4.1666666666666685E-2</v>
      </c>
      <c r="I497" t="str">
        <f>IFERROR(IF(INDEX('Attandance Tracker'!$D$3:$AH$50,MATCH($A497,'Attandance Tracker'!$A$3:$A$50,0),DAY($D497))="P","Present",IF(INDEX('Attandance Tracker'!$D$3:$AH$50,MATCH($A497,'Attandance Tracker'!$A$3:$A$50,0),DAY($D497))="A","Absent","Leave")),"")</f>
        <v>Present</v>
      </c>
    </row>
    <row r="498" spans="1:9" x14ac:dyDescent="0.25">
      <c r="A498">
        <v>1016</v>
      </c>
      <c r="B498" t="str">
        <f>_xlfn.IFNA(INDEX('Attandance Tracker'!$B$3:$B$30,MATCH($A498,'Attandance Tracker'!$A$3:$A$30,0)),"")</f>
        <v xml:space="preserve"> Nisha</v>
      </c>
      <c r="C498" s="14" t="str">
        <f>_xlfn.IFNA(INDEX('Attandance Tracker'!$C$3:$C$30,MATCH($A498,'Attandance Tracker'!$A$3:$A$30,0)),"")</f>
        <v>Sales</v>
      </c>
      <c r="D498" s="14">
        <v>30</v>
      </c>
      <c r="E498" s="7">
        <v>0.33333333333333331</v>
      </c>
      <c r="F498" s="7">
        <v>0.83333333333333337</v>
      </c>
      <c r="G498" s="7">
        <f t="shared" si="23"/>
        <v>0.33333333333333331</v>
      </c>
      <c r="H498" s="7">
        <f t="shared" si="24"/>
        <v>0.16666666666666669</v>
      </c>
      <c r="I498" t="str">
        <f>IFERROR(IF(INDEX('Attandance Tracker'!$D$3:$AH$50,MATCH($A498,'Attandance Tracker'!$A$3:$A$50,0),DAY($D498))="P","Present",IF(INDEX('Attandance Tracker'!$D$3:$AH$50,MATCH($A498,'Attandance Tracker'!$A$3:$A$50,0),DAY($D498))="A","Absent","Leave")),"")</f>
        <v>Present</v>
      </c>
    </row>
    <row r="499" spans="1:9" x14ac:dyDescent="0.25">
      <c r="A499">
        <v>1016</v>
      </c>
      <c r="B499" t="str">
        <f>_xlfn.IFNA(INDEX('Attandance Tracker'!$B$3:$B$30,MATCH($A499,'Attandance Tracker'!$A$3:$A$30,0)),"")</f>
        <v xml:space="preserve"> Nisha</v>
      </c>
      <c r="C499" s="14" t="str">
        <f>_xlfn.IFNA(INDEX('Attandance Tracker'!$C$3:$C$30,MATCH($A499,'Attandance Tracker'!$A$3:$A$30,0)),"")</f>
        <v>Sales</v>
      </c>
      <c r="D499" s="14">
        <v>31</v>
      </c>
      <c r="E499" s="7">
        <v>0.375</v>
      </c>
      <c r="F499" s="7">
        <v>0.83333333333333337</v>
      </c>
      <c r="G499" s="7">
        <f t="shared" si="23"/>
        <v>0.33333333333333331</v>
      </c>
      <c r="H499" s="7">
        <f t="shared" si="24"/>
        <v>0.12500000000000006</v>
      </c>
      <c r="I499" t="str">
        <f>IFERROR(IF(INDEX('Attandance Tracker'!$D$3:$AH$50,MATCH($A499,'Attandance Tracker'!$A$3:$A$50,0),DAY($D499))="P","Present",IF(INDEX('Attandance Tracker'!$D$3:$AH$50,MATCH($A499,'Attandance Tracker'!$A$3:$A$50,0),DAY($D499))="A","Absent","Leave")),"")</f>
        <v>Present</v>
      </c>
    </row>
    <row r="500" spans="1:9" x14ac:dyDescent="0.25">
      <c r="A500">
        <v>1017</v>
      </c>
      <c r="B500" t="str">
        <f>_xlfn.IFNA(INDEX('Attandance Tracker'!$B$3:$B$30,MATCH($A500,'Attandance Tracker'!$A$3:$A$30,0)),"")</f>
        <v xml:space="preserve"> Deepak</v>
      </c>
      <c r="C500" s="14" t="str">
        <f>_xlfn.IFNA(INDEX('Attandance Tracker'!$C$3:$C$30,MATCH($A500,'Attandance Tracker'!$A$3:$A$30,0)),"")</f>
        <v>Sales</v>
      </c>
      <c r="D500" s="14">
        <v>1</v>
      </c>
      <c r="E500" s="7">
        <v>0.375</v>
      </c>
      <c r="F500" s="7">
        <v>0.79166666666666663</v>
      </c>
      <c r="G500" s="7">
        <f t="shared" si="23"/>
        <v>0.33333333333333331</v>
      </c>
      <c r="H500" s="7">
        <f t="shared" si="24"/>
        <v>8.3333333333333315E-2</v>
      </c>
      <c r="I500" t="str">
        <f>IFERROR(IF(INDEX('Attandance Tracker'!$D$3:$AH$50,MATCH($A500,'Attandance Tracker'!$A$3:$A$50,0),DAY($D500))="P","Present",IF(INDEX('Attandance Tracker'!$D$3:$AH$50,MATCH($A500,'Attandance Tracker'!$A$3:$A$50,0),DAY($D500))="A","Absent","Leave")),"")</f>
        <v>Present</v>
      </c>
    </row>
    <row r="501" spans="1:9" x14ac:dyDescent="0.25">
      <c r="A501">
        <v>1017</v>
      </c>
      <c r="B501" t="str">
        <f>_xlfn.IFNA(INDEX('Attandance Tracker'!$B$3:$B$30,MATCH($A501,'Attandance Tracker'!$A$3:$A$30,0)),"")</f>
        <v xml:space="preserve"> Deepak</v>
      </c>
      <c r="C501" s="14" t="str">
        <f>_xlfn.IFNA(INDEX('Attandance Tracker'!$C$3:$C$30,MATCH($A501,'Attandance Tracker'!$A$3:$A$30,0)),"")</f>
        <v>Sales</v>
      </c>
      <c r="D501" s="14">
        <v>2</v>
      </c>
      <c r="E501" s="7">
        <v>0.375</v>
      </c>
      <c r="F501" s="7">
        <v>0.83333333333333337</v>
      </c>
      <c r="G501" s="7">
        <f t="shared" si="23"/>
        <v>0.33333333333333331</v>
      </c>
      <c r="H501" s="7">
        <f t="shared" si="24"/>
        <v>0.12500000000000006</v>
      </c>
      <c r="I501" t="str">
        <f>IFERROR(IF(INDEX('Attandance Tracker'!$D$3:$AH$50,MATCH($A501,'Attandance Tracker'!$A$3:$A$50,0),DAY($D501))="P","Present",IF(INDEX('Attandance Tracker'!$D$3:$AH$50,MATCH($A501,'Attandance Tracker'!$A$3:$A$50,0),DAY($D501))="A","Absent","Leave")),"")</f>
        <v>Present</v>
      </c>
    </row>
    <row r="502" spans="1:9" x14ac:dyDescent="0.25">
      <c r="A502">
        <v>1017</v>
      </c>
      <c r="B502" t="str">
        <f>_xlfn.IFNA(INDEX('Attandance Tracker'!$B$3:$B$30,MATCH($A502,'Attandance Tracker'!$A$3:$A$30,0)),"")</f>
        <v xml:space="preserve"> Deepak</v>
      </c>
      <c r="C502" s="14" t="str">
        <f>_xlfn.IFNA(INDEX('Attandance Tracker'!$C$3:$C$30,MATCH($A502,'Attandance Tracker'!$A$3:$A$30,0)),"")</f>
        <v>Sales</v>
      </c>
      <c r="D502" s="14">
        <v>3</v>
      </c>
      <c r="E502" s="7">
        <v>0.33333333333333331</v>
      </c>
      <c r="F502" s="7">
        <v>0.75</v>
      </c>
      <c r="G502" s="7">
        <f t="shared" si="23"/>
        <v>0.33333333333333331</v>
      </c>
      <c r="H502" s="7">
        <f t="shared" si="24"/>
        <v>8.333333333333337E-2</v>
      </c>
      <c r="I502" t="str">
        <f>IFERROR(IF(INDEX('Attandance Tracker'!$D$3:$AH$50,MATCH($A502,'Attandance Tracker'!$A$3:$A$50,0),DAY($D502))="P","Present",IF(INDEX('Attandance Tracker'!$D$3:$AH$50,MATCH($A502,'Attandance Tracker'!$A$3:$A$50,0),DAY($D502))="A","Absent","Leave")),"")</f>
        <v>Present</v>
      </c>
    </row>
    <row r="503" spans="1:9" x14ac:dyDescent="0.25">
      <c r="A503">
        <v>1017</v>
      </c>
      <c r="B503" t="str">
        <f>_xlfn.IFNA(INDEX('Attandance Tracker'!$B$3:$B$30,MATCH($A503,'Attandance Tracker'!$A$3:$A$30,0)),"")</f>
        <v xml:space="preserve"> Deepak</v>
      </c>
      <c r="C503" s="14" t="str">
        <f>_xlfn.IFNA(INDEX('Attandance Tracker'!$C$3:$C$30,MATCH($A503,'Attandance Tracker'!$A$3:$A$30,0)),"")</f>
        <v>Sales</v>
      </c>
      <c r="D503" s="14">
        <v>4</v>
      </c>
      <c r="E503" s="7">
        <v>0.33333333333333331</v>
      </c>
      <c r="F503" s="7">
        <v>0.79166666666666663</v>
      </c>
      <c r="G503" s="7">
        <f t="shared" si="23"/>
        <v>0.33333333333333331</v>
      </c>
      <c r="H503" s="7">
        <f t="shared" si="24"/>
        <v>0.125</v>
      </c>
      <c r="I503" t="str">
        <f>IFERROR(IF(INDEX('Attandance Tracker'!$D$3:$AH$50,MATCH($A503,'Attandance Tracker'!$A$3:$A$50,0),DAY($D503))="P","Present",IF(INDEX('Attandance Tracker'!$D$3:$AH$50,MATCH($A503,'Attandance Tracker'!$A$3:$A$50,0),DAY($D503))="A","Absent","Leave")),"")</f>
        <v>Present</v>
      </c>
    </row>
    <row r="504" spans="1:9" x14ac:dyDescent="0.25">
      <c r="A504">
        <v>1017</v>
      </c>
      <c r="B504" t="str">
        <f>_xlfn.IFNA(INDEX('Attandance Tracker'!$B$3:$B$30,MATCH($A504,'Attandance Tracker'!$A$3:$A$30,0)),"")</f>
        <v xml:space="preserve"> Deepak</v>
      </c>
      <c r="C504" s="14" t="str">
        <f>_xlfn.IFNA(INDEX('Attandance Tracker'!$C$3:$C$30,MATCH($A504,'Attandance Tracker'!$A$3:$A$30,0)),"")</f>
        <v>Sales</v>
      </c>
      <c r="D504" s="14">
        <v>5</v>
      </c>
      <c r="E504" s="7">
        <v>0.375</v>
      </c>
      <c r="F504" s="7">
        <v>0.83333333333333337</v>
      </c>
      <c r="G504" s="7">
        <f t="shared" si="23"/>
        <v>0.33333333333333331</v>
      </c>
      <c r="H504" s="7">
        <f t="shared" si="24"/>
        <v>0.12500000000000006</v>
      </c>
      <c r="I504" t="str">
        <f>IFERROR(IF(INDEX('Attandance Tracker'!$D$3:$AH$50,MATCH($A504,'Attandance Tracker'!$A$3:$A$50,0),DAY($D504))="P","Present",IF(INDEX('Attandance Tracker'!$D$3:$AH$50,MATCH($A504,'Attandance Tracker'!$A$3:$A$50,0),DAY($D504))="A","Absent","Leave")),"")</f>
        <v>Present</v>
      </c>
    </row>
    <row r="505" spans="1:9" x14ac:dyDescent="0.25">
      <c r="A505">
        <v>1017</v>
      </c>
      <c r="B505" t="str">
        <f>_xlfn.IFNA(INDEX('Attandance Tracker'!$B$3:$B$30,MATCH($A505,'Attandance Tracker'!$A$3:$A$30,0)),"")</f>
        <v xml:space="preserve"> Deepak</v>
      </c>
      <c r="C505" s="14" t="str">
        <f>_xlfn.IFNA(INDEX('Attandance Tracker'!$C$3:$C$30,MATCH($A505,'Attandance Tracker'!$A$3:$A$30,0)),"")</f>
        <v>Sales</v>
      </c>
      <c r="D505" s="14">
        <v>6</v>
      </c>
      <c r="E505" s="7">
        <v>0.375</v>
      </c>
      <c r="F505" s="7">
        <v>0.75</v>
      </c>
      <c r="G505" s="7">
        <f t="shared" si="23"/>
        <v>0.33333333333333331</v>
      </c>
      <c r="H505" s="7">
        <f t="shared" si="24"/>
        <v>4.1666666666666685E-2</v>
      </c>
      <c r="I505" t="str">
        <f>IFERROR(IF(INDEX('Attandance Tracker'!$D$3:$AH$50,MATCH($A505,'Attandance Tracker'!$A$3:$A$50,0),DAY($D505))="P","Present",IF(INDEX('Attandance Tracker'!$D$3:$AH$50,MATCH($A505,'Attandance Tracker'!$A$3:$A$50,0),DAY($D505))="A","Absent","Leave")),"")</f>
        <v>Present</v>
      </c>
    </row>
    <row r="506" spans="1:9" x14ac:dyDescent="0.25">
      <c r="A506">
        <v>1017</v>
      </c>
      <c r="B506" t="str">
        <f>_xlfn.IFNA(INDEX('Attandance Tracker'!$B$3:$B$30,MATCH($A506,'Attandance Tracker'!$A$3:$A$30,0)),"")</f>
        <v xml:space="preserve"> Deepak</v>
      </c>
      <c r="C506" s="14" t="str">
        <f>_xlfn.IFNA(INDEX('Attandance Tracker'!$C$3:$C$30,MATCH($A506,'Attandance Tracker'!$A$3:$A$30,0)),"")</f>
        <v>Sales</v>
      </c>
      <c r="D506" s="14">
        <v>7</v>
      </c>
      <c r="E506" s="7">
        <v>0.375</v>
      </c>
      <c r="F506" s="7">
        <v>0.83333333333333337</v>
      </c>
      <c r="G506" s="7">
        <f t="shared" si="23"/>
        <v>0.33333333333333331</v>
      </c>
      <c r="H506" s="7">
        <f t="shared" si="24"/>
        <v>0.12500000000000006</v>
      </c>
      <c r="I506" t="str">
        <f>IFERROR(IF(INDEX('Attandance Tracker'!$D$3:$AH$50,MATCH($A506,'Attandance Tracker'!$A$3:$A$50,0),DAY($D506))="P","Present",IF(INDEX('Attandance Tracker'!$D$3:$AH$50,MATCH($A506,'Attandance Tracker'!$A$3:$A$50,0),DAY($D506))="A","Absent","Leave")),"")</f>
        <v>Present</v>
      </c>
    </row>
    <row r="507" spans="1:9" x14ac:dyDescent="0.25">
      <c r="A507">
        <v>1017</v>
      </c>
      <c r="B507" t="str">
        <f>_xlfn.IFNA(INDEX('Attandance Tracker'!$B$3:$B$30,MATCH($A507,'Attandance Tracker'!$A$3:$A$30,0)),"")</f>
        <v xml:space="preserve"> Deepak</v>
      </c>
      <c r="C507" s="14" t="str">
        <f>_xlfn.IFNA(INDEX('Attandance Tracker'!$C$3:$C$30,MATCH($A507,'Attandance Tracker'!$A$3:$A$30,0)),"")</f>
        <v>Sales</v>
      </c>
      <c r="D507" s="14">
        <v>8</v>
      </c>
      <c r="E507" s="7">
        <v>0.33333333333333331</v>
      </c>
      <c r="F507" s="7">
        <v>0.83333333333333337</v>
      </c>
      <c r="G507" s="7">
        <f t="shared" si="23"/>
        <v>0.33333333333333331</v>
      </c>
      <c r="H507" s="7">
        <f t="shared" si="24"/>
        <v>0.16666666666666669</v>
      </c>
      <c r="I507" t="str">
        <f>IFERROR(IF(INDEX('Attandance Tracker'!$D$3:$AH$50,MATCH($A507,'Attandance Tracker'!$A$3:$A$50,0),DAY($D507))="P","Present",IF(INDEX('Attandance Tracker'!$D$3:$AH$50,MATCH($A507,'Attandance Tracker'!$A$3:$A$50,0),DAY($D507))="A","Absent","Leave")),"")</f>
        <v>Present</v>
      </c>
    </row>
    <row r="508" spans="1:9" x14ac:dyDescent="0.25">
      <c r="A508">
        <v>1017</v>
      </c>
      <c r="B508" t="str">
        <f>_xlfn.IFNA(INDEX('Attandance Tracker'!$B$3:$B$30,MATCH($A508,'Attandance Tracker'!$A$3:$A$30,0)),"")</f>
        <v xml:space="preserve"> Deepak</v>
      </c>
      <c r="C508" s="14" t="str">
        <f>_xlfn.IFNA(INDEX('Attandance Tracker'!$C$3:$C$30,MATCH($A508,'Attandance Tracker'!$A$3:$A$30,0)),"")</f>
        <v>Sales</v>
      </c>
      <c r="D508" s="14">
        <v>9</v>
      </c>
      <c r="E508" s="7">
        <v>0.33333333333333331</v>
      </c>
      <c r="F508" s="7">
        <v>0.79166666666666663</v>
      </c>
      <c r="G508" s="7">
        <f t="shared" si="23"/>
        <v>0.33333333333333331</v>
      </c>
      <c r="H508" s="7">
        <f t="shared" si="24"/>
        <v>0.125</v>
      </c>
      <c r="I508" t="str">
        <f>IFERROR(IF(INDEX('Attandance Tracker'!$D$3:$AH$50,MATCH($A508,'Attandance Tracker'!$A$3:$A$50,0),DAY($D508))="P","Present",IF(INDEX('Attandance Tracker'!$D$3:$AH$50,MATCH($A508,'Attandance Tracker'!$A$3:$A$50,0),DAY($D508))="A","Absent","Leave")),"")</f>
        <v>Present</v>
      </c>
    </row>
    <row r="509" spans="1:9" x14ac:dyDescent="0.25">
      <c r="A509">
        <v>1017</v>
      </c>
      <c r="B509" t="str">
        <f>_xlfn.IFNA(INDEX('Attandance Tracker'!$B$3:$B$30,MATCH($A509,'Attandance Tracker'!$A$3:$A$30,0)),"")</f>
        <v xml:space="preserve"> Deepak</v>
      </c>
      <c r="C509" s="14" t="str">
        <f>_xlfn.IFNA(INDEX('Attandance Tracker'!$C$3:$C$30,MATCH($A509,'Attandance Tracker'!$A$3:$A$30,0)),"")</f>
        <v>Sales</v>
      </c>
      <c r="D509" s="14">
        <v>10</v>
      </c>
      <c r="E509" s="7">
        <v>0.33333333333333331</v>
      </c>
      <c r="F509" s="7">
        <v>0.83333333333333337</v>
      </c>
      <c r="G509" s="7">
        <f t="shared" si="23"/>
        <v>0.33333333333333331</v>
      </c>
      <c r="H509" s="7">
        <f t="shared" si="24"/>
        <v>0.16666666666666669</v>
      </c>
      <c r="I509" t="str">
        <f>IFERROR(IF(INDEX('Attandance Tracker'!$D$3:$AH$50,MATCH($A509,'Attandance Tracker'!$A$3:$A$50,0),DAY($D509))="P","Present",IF(INDEX('Attandance Tracker'!$D$3:$AH$50,MATCH($A509,'Attandance Tracker'!$A$3:$A$50,0),DAY($D509))="A","Absent","Leave")),"")</f>
        <v>Present</v>
      </c>
    </row>
    <row r="510" spans="1:9" x14ac:dyDescent="0.25">
      <c r="A510">
        <v>1017</v>
      </c>
      <c r="B510" t="str">
        <f>_xlfn.IFNA(INDEX('Attandance Tracker'!$B$3:$B$30,MATCH($A510,'Attandance Tracker'!$A$3:$A$30,0)),"")</f>
        <v xml:space="preserve"> Deepak</v>
      </c>
      <c r="C510" s="14" t="str">
        <f>_xlfn.IFNA(INDEX('Attandance Tracker'!$C$3:$C$30,MATCH($A510,'Attandance Tracker'!$A$3:$A$30,0)),"")</f>
        <v>Sales</v>
      </c>
      <c r="D510" s="14">
        <v>11</v>
      </c>
      <c r="E510" s="7">
        <v>0.33333333333333331</v>
      </c>
      <c r="F510" s="7">
        <v>0.75</v>
      </c>
      <c r="G510" s="7">
        <f t="shared" si="23"/>
        <v>0.33333333333333331</v>
      </c>
      <c r="H510" s="7">
        <f t="shared" si="24"/>
        <v>8.333333333333337E-2</v>
      </c>
      <c r="I510" t="str">
        <f>IFERROR(IF(INDEX('Attandance Tracker'!$D$3:$AH$50,MATCH($A510,'Attandance Tracker'!$A$3:$A$50,0),DAY($D510))="P","Present",IF(INDEX('Attandance Tracker'!$D$3:$AH$50,MATCH($A510,'Attandance Tracker'!$A$3:$A$50,0),DAY($D510))="A","Absent","Leave")),"")</f>
        <v>Present</v>
      </c>
    </row>
    <row r="511" spans="1:9" x14ac:dyDescent="0.25">
      <c r="A511">
        <v>1017</v>
      </c>
      <c r="B511" t="str">
        <f>_xlfn.IFNA(INDEX('Attandance Tracker'!$B$3:$B$30,MATCH($A511,'Attandance Tracker'!$A$3:$A$30,0)),"")</f>
        <v xml:space="preserve"> Deepak</v>
      </c>
      <c r="C511" s="14" t="str">
        <f>_xlfn.IFNA(INDEX('Attandance Tracker'!$C$3:$C$30,MATCH($A511,'Attandance Tracker'!$A$3:$A$30,0)),"")</f>
        <v>Sales</v>
      </c>
      <c r="D511" s="14">
        <v>12</v>
      </c>
      <c r="E511" s="7">
        <v>0.33333333333333331</v>
      </c>
      <c r="F511" s="7">
        <v>0.83333333333333337</v>
      </c>
      <c r="G511" s="7">
        <f t="shared" si="23"/>
        <v>0.33333333333333331</v>
      </c>
      <c r="H511" s="7">
        <f t="shared" si="24"/>
        <v>0.16666666666666669</v>
      </c>
      <c r="I511" t="str">
        <f>IFERROR(IF(INDEX('Attandance Tracker'!$D$3:$AH$50,MATCH($A511,'Attandance Tracker'!$A$3:$A$50,0),DAY($D511))="P","Present",IF(INDEX('Attandance Tracker'!$D$3:$AH$50,MATCH($A511,'Attandance Tracker'!$A$3:$A$50,0),DAY($D511))="A","Absent","Leave")),"")</f>
        <v>Present</v>
      </c>
    </row>
    <row r="512" spans="1:9" x14ac:dyDescent="0.25">
      <c r="A512">
        <v>1017</v>
      </c>
      <c r="B512" t="str">
        <f>_xlfn.IFNA(INDEX('Attandance Tracker'!$B$3:$B$30,MATCH($A512,'Attandance Tracker'!$A$3:$A$30,0)),"")</f>
        <v xml:space="preserve"> Deepak</v>
      </c>
      <c r="C512" s="14" t="str">
        <f>_xlfn.IFNA(INDEX('Attandance Tracker'!$C$3:$C$30,MATCH($A512,'Attandance Tracker'!$A$3:$A$30,0)),"")</f>
        <v>Sales</v>
      </c>
      <c r="D512" s="14">
        <v>13</v>
      </c>
      <c r="E512" s="7">
        <v>0.33333333333333331</v>
      </c>
      <c r="F512" s="7">
        <v>0.83333333333333337</v>
      </c>
      <c r="G512" s="7">
        <f t="shared" si="23"/>
        <v>0.33333333333333331</v>
      </c>
      <c r="H512" s="7">
        <f t="shared" si="24"/>
        <v>0.16666666666666669</v>
      </c>
      <c r="I512" t="str">
        <f>IFERROR(IF(INDEX('Attandance Tracker'!$D$3:$AH$50,MATCH($A512,'Attandance Tracker'!$A$3:$A$50,0),DAY($D512))="P","Present",IF(INDEX('Attandance Tracker'!$D$3:$AH$50,MATCH($A512,'Attandance Tracker'!$A$3:$A$50,0),DAY($D512))="A","Absent","Leave")),"")</f>
        <v>Present</v>
      </c>
    </row>
    <row r="513" spans="1:9" x14ac:dyDescent="0.25">
      <c r="A513">
        <v>1017</v>
      </c>
      <c r="B513" t="str">
        <f>_xlfn.IFNA(INDEX('Attandance Tracker'!$B$3:$B$30,MATCH($A513,'Attandance Tracker'!$A$3:$A$30,0)),"")</f>
        <v xml:space="preserve"> Deepak</v>
      </c>
      <c r="C513" s="14" t="str">
        <f>_xlfn.IFNA(INDEX('Attandance Tracker'!$C$3:$C$30,MATCH($A513,'Attandance Tracker'!$A$3:$A$30,0)),"")</f>
        <v>Sales</v>
      </c>
      <c r="D513" s="14">
        <v>14</v>
      </c>
      <c r="E513" s="7">
        <v>0.33333333333333331</v>
      </c>
      <c r="F513" s="7">
        <v>0.79166666666666663</v>
      </c>
      <c r="G513" s="7">
        <f t="shared" si="23"/>
        <v>0.33333333333333331</v>
      </c>
      <c r="H513" s="7">
        <f t="shared" si="24"/>
        <v>0.125</v>
      </c>
      <c r="I513" t="str">
        <f>IFERROR(IF(INDEX('Attandance Tracker'!$D$3:$AH$50,MATCH($A513,'Attandance Tracker'!$A$3:$A$50,0),DAY($D513))="P","Present",IF(INDEX('Attandance Tracker'!$D$3:$AH$50,MATCH($A513,'Attandance Tracker'!$A$3:$A$50,0),DAY($D513))="A","Absent","Leave")),"")</f>
        <v>Present</v>
      </c>
    </row>
    <row r="514" spans="1:9" x14ac:dyDescent="0.25">
      <c r="A514">
        <v>1017</v>
      </c>
      <c r="B514" t="str">
        <f>_xlfn.IFNA(INDEX('Attandance Tracker'!$B$3:$B$30,MATCH($A514,'Attandance Tracker'!$A$3:$A$30,0)),"")</f>
        <v xml:space="preserve"> Deepak</v>
      </c>
      <c r="C514" s="14" t="str">
        <f>_xlfn.IFNA(INDEX('Attandance Tracker'!$C$3:$C$30,MATCH($A514,'Attandance Tracker'!$A$3:$A$30,0)),"")</f>
        <v>Sales</v>
      </c>
      <c r="D514" s="14">
        <v>15</v>
      </c>
      <c r="E514" s="7">
        <v>0.375</v>
      </c>
      <c r="F514" s="7">
        <v>0.83333333333333337</v>
      </c>
      <c r="G514" s="7">
        <f t="shared" si="23"/>
        <v>0.33333333333333331</v>
      </c>
      <c r="H514" s="7">
        <f t="shared" si="24"/>
        <v>0.12500000000000006</v>
      </c>
      <c r="I514" t="str">
        <f>IFERROR(IF(INDEX('Attandance Tracker'!$D$3:$AH$50,MATCH($A514,'Attandance Tracker'!$A$3:$A$50,0),DAY($D514))="P","Present",IF(INDEX('Attandance Tracker'!$D$3:$AH$50,MATCH($A514,'Attandance Tracker'!$A$3:$A$50,0),DAY($D514))="A","Absent","Leave")),"")</f>
        <v>Present</v>
      </c>
    </row>
    <row r="515" spans="1:9" x14ac:dyDescent="0.25">
      <c r="A515">
        <v>1017</v>
      </c>
      <c r="B515" t="str">
        <f>_xlfn.IFNA(INDEX('Attandance Tracker'!$B$3:$B$30,MATCH($A515,'Attandance Tracker'!$A$3:$A$30,0)),"")</f>
        <v xml:space="preserve"> Deepak</v>
      </c>
      <c r="C515" s="14" t="str">
        <f>_xlfn.IFNA(INDEX('Attandance Tracker'!$C$3:$C$30,MATCH($A515,'Attandance Tracker'!$A$3:$A$30,0)),"")</f>
        <v>Sales</v>
      </c>
      <c r="D515" s="14">
        <v>16</v>
      </c>
      <c r="E515" s="7">
        <v>0.375</v>
      </c>
      <c r="F515" s="7">
        <v>0.75</v>
      </c>
      <c r="G515" s="7">
        <f t="shared" si="23"/>
        <v>0.33333333333333331</v>
      </c>
      <c r="H515" s="7">
        <f t="shared" si="24"/>
        <v>4.1666666666666685E-2</v>
      </c>
      <c r="I515" t="str">
        <f>IFERROR(IF(INDEX('Attandance Tracker'!$D$3:$AH$50,MATCH($A515,'Attandance Tracker'!$A$3:$A$50,0),DAY($D515))="P","Present",IF(INDEX('Attandance Tracker'!$D$3:$AH$50,MATCH($A515,'Attandance Tracker'!$A$3:$A$50,0),DAY($D515))="A","Absent","Leave")),"")</f>
        <v>Present</v>
      </c>
    </row>
    <row r="516" spans="1:9" x14ac:dyDescent="0.25">
      <c r="A516">
        <v>1017</v>
      </c>
      <c r="B516" t="str">
        <f>_xlfn.IFNA(INDEX('Attandance Tracker'!$B$3:$B$30,MATCH($A516,'Attandance Tracker'!$A$3:$A$30,0)),"")</f>
        <v xml:space="preserve"> Deepak</v>
      </c>
      <c r="C516" s="14" t="str">
        <f>_xlfn.IFNA(INDEX('Attandance Tracker'!$C$3:$C$30,MATCH($A516,'Attandance Tracker'!$A$3:$A$30,0)),"")</f>
        <v>Sales</v>
      </c>
      <c r="D516" s="14">
        <v>17</v>
      </c>
      <c r="E516" s="7">
        <v>0.375</v>
      </c>
      <c r="F516" s="7">
        <v>0.83333333333333337</v>
      </c>
      <c r="G516" s="7">
        <f t="shared" si="23"/>
        <v>0.33333333333333331</v>
      </c>
      <c r="H516" s="7">
        <f t="shared" si="24"/>
        <v>0.12500000000000006</v>
      </c>
      <c r="I516" t="str">
        <f>IFERROR(IF(INDEX('Attandance Tracker'!$D$3:$AH$50,MATCH($A516,'Attandance Tracker'!$A$3:$A$50,0),DAY($D516))="P","Present",IF(INDEX('Attandance Tracker'!$D$3:$AH$50,MATCH($A516,'Attandance Tracker'!$A$3:$A$50,0),DAY($D516))="A","Absent","Leave")),"")</f>
        <v>Present</v>
      </c>
    </row>
    <row r="517" spans="1:9" x14ac:dyDescent="0.25">
      <c r="A517">
        <v>1017</v>
      </c>
      <c r="B517" t="str">
        <f>_xlfn.IFNA(INDEX('Attandance Tracker'!$B$3:$B$30,MATCH($A517,'Attandance Tracker'!$A$3:$A$30,0)),"")</f>
        <v xml:space="preserve"> Deepak</v>
      </c>
      <c r="C517" s="14" t="str">
        <f>_xlfn.IFNA(INDEX('Attandance Tracker'!$C$3:$C$30,MATCH($A517,'Attandance Tracker'!$A$3:$A$30,0)),"")</f>
        <v>Sales</v>
      </c>
      <c r="D517" s="14">
        <v>18</v>
      </c>
      <c r="E517" s="7">
        <v>0.375</v>
      </c>
      <c r="F517" s="7">
        <v>0.83333333333333337</v>
      </c>
      <c r="G517" s="7">
        <f t="shared" ref="G517:G580" si="25">IF(I517="Present",MIN(F517-E517,8/24),IF(I517="Absent",8/24,0))</f>
        <v>0</v>
      </c>
      <c r="H517" s="7">
        <f t="shared" ref="H517:H580" si="26">IF(I517="Present",MAX(0,F517-E517-8/24),0)</f>
        <v>0</v>
      </c>
      <c r="I517" t="str">
        <f>IFERROR(IF(INDEX('Attandance Tracker'!$D$3:$AH$50,MATCH($A517,'Attandance Tracker'!$A$3:$A$50,0),DAY($D517))="P","Present",IF(INDEX('Attandance Tracker'!$D$3:$AH$50,MATCH($A517,'Attandance Tracker'!$A$3:$A$50,0),DAY($D517))="A","Absent","Leave")),"")</f>
        <v>Leave</v>
      </c>
    </row>
    <row r="518" spans="1:9" x14ac:dyDescent="0.25">
      <c r="A518">
        <v>1017</v>
      </c>
      <c r="B518" t="str">
        <f>_xlfn.IFNA(INDEX('Attandance Tracker'!$B$3:$B$30,MATCH($A518,'Attandance Tracker'!$A$3:$A$30,0)),"")</f>
        <v xml:space="preserve"> Deepak</v>
      </c>
      <c r="C518" s="14" t="str">
        <f>_xlfn.IFNA(INDEX('Attandance Tracker'!$C$3:$C$30,MATCH($A518,'Attandance Tracker'!$A$3:$A$30,0)),"")</f>
        <v>Sales</v>
      </c>
      <c r="D518" s="14">
        <v>19</v>
      </c>
      <c r="E518" s="7">
        <v>0.33333333333333331</v>
      </c>
      <c r="F518" s="7">
        <v>0.83333333333333337</v>
      </c>
      <c r="G518" s="7">
        <f t="shared" si="25"/>
        <v>0.33333333333333331</v>
      </c>
      <c r="H518" s="7">
        <f t="shared" si="26"/>
        <v>0</v>
      </c>
      <c r="I518" t="str">
        <f>IFERROR(IF(INDEX('Attandance Tracker'!$D$3:$AH$50,MATCH($A518,'Attandance Tracker'!$A$3:$A$50,0),DAY($D518))="P","Present",IF(INDEX('Attandance Tracker'!$D$3:$AH$50,MATCH($A518,'Attandance Tracker'!$A$3:$A$50,0),DAY($D518))="A","Absent","Leave")),"")</f>
        <v>Absent</v>
      </c>
    </row>
    <row r="519" spans="1:9" x14ac:dyDescent="0.25">
      <c r="A519">
        <v>1017</v>
      </c>
      <c r="B519" t="str">
        <f>_xlfn.IFNA(INDEX('Attandance Tracker'!$B$3:$B$30,MATCH($A519,'Attandance Tracker'!$A$3:$A$30,0)),"")</f>
        <v xml:space="preserve"> Deepak</v>
      </c>
      <c r="C519" s="14" t="str">
        <f>_xlfn.IFNA(INDEX('Attandance Tracker'!$C$3:$C$30,MATCH($A519,'Attandance Tracker'!$A$3:$A$30,0)),"")</f>
        <v>Sales</v>
      </c>
      <c r="D519" s="14">
        <v>20</v>
      </c>
      <c r="E519" s="7">
        <v>0.33333333333333331</v>
      </c>
      <c r="F519" s="7">
        <v>0.79166666666666663</v>
      </c>
      <c r="G519" s="7">
        <f t="shared" si="25"/>
        <v>0.33333333333333331</v>
      </c>
      <c r="H519" s="7">
        <f t="shared" si="26"/>
        <v>0.125</v>
      </c>
      <c r="I519" t="str">
        <f>IFERROR(IF(INDEX('Attandance Tracker'!$D$3:$AH$50,MATCH($A519,'Attandance Tracker'!$A$3:$A$50,0),DAY($D519))="P","Present",IF(INDEX('Attandance Tracker'!$D$3:$AH$50,MATCH($A519,'Attandance Tracker'!$A$3:$A$50,0),DAY($D519))="A","Absent","Leave")),"")</f>
        <v>Present</v>
      </c>
    </row>
    <row r="520" spans="1:9" x14ac:dyDescent="0.25">
      <c r="A520">
        <v>1017</v>
      </c>
      <c r="B520" t="str">
        <f>_xlfn.IFNA(INDEX('Attandance Tracker'!$B$3:$B$30,MATCH($A520,'Attandance Tracker'!$A$3:$A$30,0)),"")</f>
        <v xml:space="preserve"> Deepak</v>
      </c>
      <c r="C520" s="14" t="str">
        <f>_xlfn.IFNA(INDEX('Attandance Tracker'!$C$3:$C$30,MATCH($A520,'Attandance Tracker'!$A$3:$A$30,0)),"")</f>
        <v>Sales</v>
      </c>
      <c r="D520" s="14">
        <v>21</v>
      </c>
      <c r="E520" s="7">
        <v>0.33333333333333331</v>
      </c>
      <c r="F520" s="7">
        <v>0.83333333333333337</v>
      </c>
      <c r="G520" s="7">
        <f t="shared" si="25"/>
        <v>0.33333333333333331</v>
      </c>
      <c r="H520" s="7">
        <f t="shared" si="26"/>
        <v>0.16666666666666669</v>
      </c>
      <c r="I520" t="str">
        <f>IFERROR(IF(INDEX('Attandance Tracker'!$D$3:$AH$50,MATCH($A520,'Attandance Tracker'!$A$3:$A$50,0),DAY($D520))="P","Present",IF(INDEX('Attandance Tracker'!$D$3:$AH$50,MATCH($A520,'Attandance Tracker'!$A$3:$A$50,0),DAY($D520))="A","Absent","Leave")),"")</f>
        <v>Present</v>
      </c>
    </row>
    <row r="521" spans="1:9" x14ac:dyDescent="0.25">
      <c r="A521">
        <v>1017</v>
      </c>
      <c r="B521" t="str">
        <f>_xlfn.IFNA(INDEX('Attandance Tracker'!$B$3:$B$30,MATCH($A521,'Attandance Tracker'!$A$3:$A$30,0)),"")</f>
        <v xml:space="preserve"> Deepak</v>
      </c>
      <c r="C521" s="14" t="str">
        <f>_xlfn.IFNA(INDEX('Attandance Tracker'!$C$3:$C$30,MATCH($A521,'Attandance Tracker'!$A$3:$A$30,0)),"")</f>
        <v>Sales</v>
      </c>
      <c r="D521" s="14">
        <v>22</v>
      </c>
      <c r="E521" s="7">
        <v>0.33333333333333331</v>
      </c>
      <c r="F521" s="7">
        <v>0.75</v>
      </c>
      <c r="G521" s="7">
        <f t="shared" si="25"/>
        <v>0.33333333333333331</v>
      </c>
      <c r="H521" s="7">
        <f t="shared" si="26"/>
        <v>8.333333333333337E-2</v>
      </c>
      <c r="I521" t="str">
        <f>IFERROR(IF(INDEX('Attandance Tracker'!$D$3:$AH$50,MATCH($A521,'Attandance Tracker'!$A$3:$A$50,0),DAY($D521))="P","Present",IF(INDEX('Attandance Tracker'!$D$3:$AH$50,MATCH($A521,'Attandance Tracker'!$A$3:$A$50,0),DAY($D521))="A","Absent","Leave")),"")</f>
        <v>Present</v>
      </c>
    </row>
    <row r="522" spans="1:9" x14ac:dyDescent="0.25">
      <c r="A522">
        <v>1017</v>
      </c>
      <c r="B522" t="str">
        <f>_xlfn.IFNA(INDEX('Attandance Tracker'!$B$3:$B$30,MATCH($A522,'Attandance Tracker'!$A$3:$A$30,0)),"")</f>
        <v xml:space="preserve"> Deepak</v>
      </c>
      <c r="C522" s="14" t="str">
        <f>_xlfn.IFNA(INDEX('Attandance Tracker'!$C$3:$C$30,MATCH($A522,'Attandance Tracker'!$A$3:$A$30,0)),"")</f>
        <v>Sales</v>
      </c>
      <c r="D522" s="14">
        <v>23</v>
      </c>
      <c r="E522" s="7">
        <v>0.33333333333333331</v>
      </c>
      <c r="F522" s="7">
        <v>0.83333333333333337</v>
      </c>
      <c r="G522" s="7">
        <f t="shared" si="25"/>
        <v>0.33333333333333331</v>
      </c>
      <c r="H522" s="7">
        <f t="shared" si="26"/>
        <v>0.16666666666666669</v>
      </c>
      <c r="I522" t="str">
        <f>IFERROR(IF(INDEX('Attandance Tracker'!$D$3:$AH$50,MATCH($A522,'Attandance Tracker'!$A$3:$A$50,0),DAY($D522))="P","Present",IF(INDEX('Attandance Tracker'!$D$3:$AH$50,MATCH($A522,'Attandance Tracker'!$A$3:$A$50,0),DAY($D522))="A","Absent","Leave")),"")</f>
        <v>Present</v>
      </c>
    </row>
    <row r="523" spans="1:9" x14ac:dyDescent="0.25">
      <c r="A523">
        <v>1017</v>
      </c>
      <c r="B523" t="str">
        <f>_xlfn.IFNA(INDEX('Attandance Tracker'!$B$3:$B$30,MATCH($A523,'Attandance Tracker'!$A$3:$A$30,0)),"")</f>
        <v xml:space="preserve"> Deepak</v>
      </c>
      <c r="C523" s="14" t="str">
        <f>_xlfn.IFNA(INDEX('Attandance Tracker'!$C$3:$C$30,MATCH($A523,'Attandance Tracker'!$A$3:$A$30,0)),"")</f>
        <v>Sales</v>
      </c>
      <c r="D523" s="14">
        <v>24</v>
      </c>
      <c r="E523" s="7">
        <v>0.33333333333333331</v>
      </c>
      <c r="F523" s="7">
        <v>0.83333333333333337</v>
      </c>
      <c r="G523" s="7">
        <f t="shared" si="25"/>
        <v>0.33333333333333331</v>
      </c>
      <c r="H523" s="7">
        <f t="shared" si="26"/>
        <v>0</v>
      </c>
      <c r="I523" t="str">
        <f>IFERROR(IF(INDEX('Attandance Tracker'!$D$3:$AH$50,MATCH($A523,'Attandance Tracker'!$A$3:$A$50,0),DAY($D523))="P","Present",IF(INDEX('Attandance Tracker'!$D$3:$AH$50,MATCH($A523,'Attandance Tracker'!$A$3:$A$50,0),DAY($D523))="A","Absent","Leave")),"")</f>
        <v>Absent</v>
      </c>
    </row>
    <row r="524" spans="1:9" x14ac:dyDescent="0.25">
      <c r="A524">
        <v>1017</v>
      </c>
      <c r="B524" t="str">
        <f>_xlfn.IFNA(INDEX('Attandance Tracker'!$B$3:$B$30,MATCH($A524,'Attandance Tracker'!$A$3:$A$30,0)),"")</f>
        <v xml:space="preserve"> Deepak</v>
      </c>
      <c r="C524" s="14" t="str">
        <f>_xlfn.IFNA(INDEX('Attandance Tracker'!$C$3:$C$30,MATCH($A524,'Attandance Tracker'!$A$3:$A$30,0)),"")</f>
        <v>Sales</v>
      </c>
      <c r="D524" s="14">
        <v>25</v>
      </c>
      <c r="E524" s="7">
        <v>0.33333333333333331</v>
      </c>
      <c r="F524" s="7">
        <v>0.79166666666666663</v>
      </c>
      <c r="G524" s="7">
        <f t="shared" si="25"/>
        <v>0.33333333333333331</v>
      </c>
      <c r="H524" s="7">
        <f t="shared" si="26"/>
        <v>0</v>
      </c>
      <c r="I524" t="str">
        <f>IFERROR(IF(INDEX('Attandance Tracker'!$D$3:$AH$50,MATCH($A524,'Attandance Tracker'!$A$3:$A$50,0),DAY($D524))="P","Present",IF(INDEX('Attandance Tracker'!$D$3:$AH$50,MATCH($A524,'Attandance Tracker'!$A$3:$A$50,0),DAY($D524))="A","Absent","Leave")),"")</f>
        <v>Absent</v>
      </c>
    </row>
    <row r="525" spans="1:9" x14ac:dyDescent="0.25">
      <c r="A525">
        <v>1017</v>
      </c>
      <c r="B525" t="str">
        <f>_xlfn.IFNA(INDEX('Attandance Tracker'!$B$3:$B$30,MATCH($A525,'Attandance Tracker'!$A$3:$A$30,0)),"")</f>
        <v xml:space="preserve"> Deepak</v>
      </c>
      <c r="C525" s="14" t="str">
        <f>_xlfn.IFNA(INDEX('Attandance Tracker'!$C$3:$C$30,MATCH($A525,'Attandance Tracker'!$A$3:$A$30,0)),"")</f>
        <v>Sales</v>
      </c>
      <c r="D525" s="14">
        <v>26</v>
      </c>
      <c r="E525" s="7">
        <v>0.375</v>
      </c>
      <c r="F525" s="7">
        <v>0.83333333333333337</v>
      </c>
      <c r="G525" s="7">
        <f t="shared" si="25"/>
        <v>0</v>
      </c>
      <c r="H525" s="7">
        <f t="shared" si="26"/>
        <v>0</v>
      </c>
      <c r="I525" t="str">
        <f>IFERROR(IF(INDEX('Attandance Tracker'!$D$3:$AH$50,MATCH($A525,'Attandance Tracker'!$A$3:$A$50,0),DAY($D525))="P","Present",IF(INDEX('Attandance Tracker'!$D$3:$AH$50,MATCH($A525,'Attandance Tracker'!$A$3:$A$50,0),DAY($D525))="A","Absent","Leave")),"")</f>
        <v>Leave</v>
      </c>
    </row>
    <row r="526" spans="1:9" x14ac:dyDescent="0.25">
      <c r="A526">
        <v>1017</v>
      </c>
      <c r="B526" t="str">
        <f>_xlfn.IFNA(INDEX('Attandance Tracker'!$B$3:$B$30,MATCH($A526,'Attandance Tracker'!$A$3:$A$30,0)),"")</f>
        <v xml:space="preserve"> Deepak</v>
      </c>
      <c r="C526" s="14" t="str">
        <f>_xlfn.IFNA(INDEX('Attandance Tracker'!$C$3:$C$30,MATCH($A526,'Attandance Tracker'!$A$3:$A$30,0)),"")</f>
        <v>Sales</v>
      </c>
      <c r="D526" s="14">
        <v>27</v>
      </c>
      <c r="E526" s="7">
        <v>0.375</v>
      </c>
      <c r="F526" s="7">
        <v>0.75</v>
      </c>
      <c r="G526" s="7">
        <f t="shared" si="25"/>
        <v>0.33333333333333331</v>
      </c>
      <c r="H526" s="7">
        <f t="shared" si="26"/>
        <v>4.1666666666666685E-2</v>
      </c>
      <c r="I526" t="str">
        <f>IFERROR(IF(INDEX('Attandance Tracker'!$D$3:$AH$50,MATCH($A526,'Attandance Tracker'!$A$3:$A$50,0),DAY($D526))="P","Present",IF(INDEX('Attandance Tracker'!$D$3:$AH$50,MATCH($A526,'Attandance Tracker'!$A$3:$A$50,0),DAY($D526))="A","Absent","Leave")),"")</f>
        <v>Present</v>
      </c>
    </row>
    <row r="527" spans="1:9" x14ac:dyDescent="0.25">
      <c r="A527">
        <v>1017</v>
      </c>
      <c r="B527" t="str">
        <f>_xlfn.IFNA(INDEX('Attandance Tracker'!$B$3:$B$30,MATCH($A527,'Attandance Tracker'!$A$3:$A$30,0)),"")</f>
        <v xml:space="preserve"> Deepak</v>
      </c>
      <c r="C527" s="14" t="str">
        <f>_xlfn.IFNA(INDEX('Attandance Tracker'!$C$3:$C$30,MATCH($A527,'Attandance Tracker'!$A$3:$A$30,0)),"")</f>
        <v>Sales</v>
      </c>
      <c r="D527" s="14">
        <v>28</v>
      </c>
      <c r="E527" s="7">
        <v>0.33333333333333331</v>
      </c>
      <c r="F527" s="7">
        <v>0.79166666666666663</v>
      </c>
      <c r="G527" s="7">
        <f t="shared" si="25"/>
        <v>0.33333333333333331</v>
      </c>
      <c r="H527" s="7">
        <f t="shared" si="26"/>
        <v>0.125</v>
      </c>
      <c r="I527" t="str">
        <f>IFERROR(IF(INDEX('Attandance Tracker'!$D$3:$AH$50,MATCH($A527,'Attandance Tracker'!$A$3:$A$50,0),DAY($D527))="P","Present",IF(INDEX('Attandance Tracker'!$D$3:$AH$50,MATCH($A527,'Attandance Tracker'!$A$3:$A$50,0),DAY($D527))="A","Absent","Leave")),"")</f>
        <v>Present</v>
      </c>
    </row>
    <row r="528" spans="1:9" x14ac:dyDescent="0.25">
      <c r="A528">
        <v>1017</v>
      </c>
      <c r="B528" t="str">
        <f>_xlfn.IFNA(INDEX('Attandance Tracker'!$B$3:$B$30,MATCH($A528,'Attandance Tracker'!$A$3:$A$30,0)),"")</f>
        <v xml:space="preserve"> Deepak</v>
      </c>
      <c r="C528" s="14" t="str">
        <f>_xlfn.IFNA(INDEX('Attandance Tracker'!$C$3:$C$30,MATCH($A528,'Attandance Tracker'!$A$3:$A$30,0)),"")</f>
        <v>Sales</v>
      </c>
      <c r="D528" s="14">
        <v>29</v>
      </c>
      <c r="E528" s="7">
        <v>0.375</v>
      </c>
      <c r="F528" s="7">
        <v>0.83333333333333337</v>
      </c>
      <c r="G528" s="7">
        <f t="shared" si="25"/>
        <v>0.33333333333333331</v>
      </c>
      <c r="H528" s="7">
        <f t="shared" si="26"/>
        <v>0.12500000000000006</v>
      </c>
      <c r="I528" t="str">
        <f>IFERROR(IF(INDEX('Attandance Tracker'!$D$3:$AH$50,MATCH($A528,'Attandance Tracker'!$A$3:$A$50,0),DAY($D528))="P","Present",IF(INDEX('Attandance Tracker'!$D$3:$AH$50,MATCH($A528,'Attandance Tracker'!$A$3:$A$50,0),DAY($D528))="A","Absent","Leave")),"")</f>
        <v>Present</v>
      </c>
    </row>
    <row r="529" spans="1:9" x14ac:dyDescent="0.25">
      <c r="A529">
        <v>1017</v>
      </c>
      <c r="B529" t="str">
        <f>_xlfn.IFNA(INDEX('Attandance Tracker'!$B$3:$B$30,MATCH($A529,'Attandance Tracker'!$A$3:$A$30,0)),"")</f>
        <v xml:space="preserve"> Deepak</v>
      </c>
      <c r="C529" s="14" t="str">
        <f>_xlfn.IFNA(INDEX('Attandance Tracker'!$C$3:$C$30,MATCH($A529,'Attandance Tracker'!$A$3:$A$30,0)),"")</f>
        <v>Sales</v>
      </c>
      <c r="D529" s="14">
        <v>30</v>
      </c>
      <c r="E529" s="7">
        <v>0.375</v>
      </c>
      <c r="F529" s="7">
        <v>0.75</v>
      </c>
      <c r="G529" s="7">
        <f t="shared" si="25"/>
        <v>0</v>
      </c>
      <c r="H529" s="7">
        <f t="shared" si="26"/>
        <v>0</v>
      </c>
      <c r="I529" t="str">
        <f>IFERROR(IF(INDEX('Attandance Tracker'!$D$3:$AH$50,MATCH($A529,'Attandance Tracker'!$A$3:$A$50,0),DAY($D529))="P","Present",IF(INDEX('Attandance Tracker'!$D$3:$AH$50,MATCH($A529,'Attandance Tracker'!$A$3:$A$50,0),DAY($D529))="A","Absent","Leave")),"")</f>
        <v>Leave</v>
      </c>
    </row>
    <row r="530" spans="1:9" x14ac:dyDescent="0.25">
      <c r="A530">
        <v>1017</v>
      </c>
      <c r="B530" t="str">
        <f>_xlfn.IFNA(INDEX('Attandance Tracker'!$B$3:$B$30,MATCH($A530,'Attandance Tracker'!$A$3:$A$30,0)),"")</f>
        <v xml:space="preserve"> Deepak</v>
      </c>
      <c r="C530" s="14" t="str">
        <f>_xlfn.IFNA(INDEX('Attandance Tracker'!$C$3:$C$30,MATCH($A530,'Attandance Tracker'!$A$3:$A$30,0)),"")</f>
        <v>Sales</v>
      </c>
      <c r="D530" s="14">
        <v>31</v>
      </c>
      <c r="E530" s="7">
        <v>0.375</v>
      </c>
      <c r="F530" s="7">
        <v>0.83333333333333337</v>
      </c>
      <c r="G530" s="7">
        <f t="shared" si="25"/>
        <v>0</v>
      </c>
      <c r="H530" s="7">
        <f t="shared" si="26"/>
        <v>0</v>
      </c>
      <c r="I530" t="str">
        <f>IFERROR(IF(INDEX('Attandance Tracker'!$D$3:$AH$50,MATCH($A530,'Attandance Tracker'!$A$3:$A$50,0),DAY($D530))="P","Present",IF(INDEX('Attandance Tracker'!$D$3:$AH$50,MATCH($A530,'Attandance Tracker'!$A$3:$A$50,0),DAY($D530))="A","Absent","Leave")),"")</f>
        <v>Leave</v>
      </c>
    </row>
    <row r="531" spans="1:9" x14ac:dyDescent="0.25">
      <c r="A531">
        <v>1018</v>
      </c>
      <c r="B531" t="str">
        <f>_xlfn.IFNA(INDEX('Attandance Tracker'!$B$3:$B$30,MATCH($A531,'Attandance Tracker'!$A$3:$A$30,0)),"")</f>
        <v xml:space="preserve"> Ayesha</v>
      </c>
      <c r="C531" s="14" t="str">
        <f>_xlfn.IFNA(INDEX('Attandance Tracker'!$C$3:$C$30,MATCH($A531,'Attandance Tracker'!$A$3:$A$30,0)),"")</f>
        <v>Operations</v>
      </c>
      <c r="D531" s="14">
        <v>1</v>
      </c>
      <c r="E531" s="7">
        <v>0.33333333333333331</v>
      </c>
      <c r="F531" s="7">
        <v>0.83333333333333337</v>
      </c>
      <c r="G531" s="7">
        <f t="shared" si="25"/>
        <v>0.33333333333333331</v>
      </c>
      <c r="H531" s="7">
        <f t="shared" si="26"/>
        <v>0.16666666666666669</v>
      </c>
      <c r="I531" t="str">
        <f>IFERROR(IF(INDEX('Attandance Tracker'!$D$3:$AH$50,MATCH($A531,'Attandance Tracker'!$A$3:$A$50,0),DAY($D531))="P","Present",IF(INDEX('Attandance Tracker'!$D$3:$AH$50,MATCH($A531,'Attandance Tracker'!$A$3:$A$50,0),DAY($D531))="A","Absent","Leave")),"")</f>
        <v>Present</v>
      </c>
    </row>
    <row r="532" spans="1:9" x14ac:dyDescent="0.25">
      <c r="A532">
        <v>1018</v>
      </c>
      <c r="B532" t="str">
        <f>_xlfn.IFNA(INDEX('Attandance Tracker'!$B$3:$B$30,MATCH($A532,'Attandance Tracker'!$A$3:$A$30,0)),"")</f>
        <v xml:space="preserve"> Ayesha</v>
      </c>
      <c r="C532" s="14" t="str">
        <f>_xlfn.IFNA(INDEX('Attandance Tracker'!$C$3:$C$30,MATCH($A532,'Attandance Tracker'!$A$3:$A$30,0)),"")</f>
        <v>Operations</v>
      </c>
      <c r="D532" s="14">
        <v>2</v>
      </c>
      <c r="E532" s="7">
        <v>0.33333333333333331</v>
      </c>
      <c r="F532" s="7">
        <v>0.79166666666666663</v>
      </c>
      <c r="G532" s="7">
        <f t="shared" si="25"/>
        <v>0.33333333333333331</v>
      </c>
      <c r="H532" s="7">
        <f t="shared" si="26"/>
        <v>0.125</v>
      </c>
      <c r="I532" t="str">
        <f>IFERROR(IF(INDEX('Attandance Tracker'!$D$3:$AH$50,MATCH($A532,'Attandance Tracker'!$A$3:$A$50,0),DAY($D532))="P","Present",IF(INDEX('Attandance Tracker'!$D$3:$AH$50,MATCH($A532,'Attandance Tracker'!$A$3:$A$50,0),DAY($D532))="A","Absent","Leave")),"")</f>
        <v>Present</v>
      </c>
    </row>
    <row r="533" spans="1:9" x14ac:dyDescent="0.25">
      <c r="A533">
        <v>1018</v>
      </c>
      <c r="B533" t="str">
        <f>_xlfn.IFNA(INDEX('Attandance Tracker'!$B$3:$B$30,MATCH($A533,'Attandance Tracker'!$A$3:$A$30,0)),"")</f>
        <v xml:space="preserve"> Ayesha</v>
      </c>
      <c r="C533" s="14" t="str">
        <f>_xlfn.IFNA(INDEX('Attandance Tracker'!$C$3:$C$30,MATCH($A533,'Attandance Tracker'!$A$3:$A$30,0)),"")</f>
        <v>Operations</v>
      </c>
      <c r="D533" s="14">
        <v>3</v>
      </c>
      <c r="E533" s="7">
        <v>0.375</v>
      </c>
      <c r="F533" s="7">
        <v>0.83333333333333337</v>
      </c>
      <c r="G533" s="7">
        <f t="shared" si="25"/>
        <v>0.33333333333333331</v>
      </c>
      <c r="H533" s="7">
        <f t="shared" si="26"/>
        <v>0.12500000000000006</v>
      </c>
      <c r="I533" t="str">
        <f>IFERROR(IF(INDEX('Attandance Tracker'!$D$3:$AH$50,MATCH($A533,'Attandance Tracker'!$A$3:$A$50,0),DAY($D533))="P","Present",IF(INDEX('Attandance Tracker'!$D$3:$AH$50,MATCH($A533,'Attandance Tracker'!$A$3:$A$50,0),DAY($D533))="A","Absent","Leave")),"")</f>
        <v>Present</v>
      </c>
    </row>
    <row r="534" spans="1:9" x14ac:dyDescent="0.25">
      <c r="A534">
        <v>1018</v>
      </c>
      <c r="B534" t="str">
        <f>_xlfn.IFNA(INDEX('Attandance Tracker'!$B$3:$B$30,MATCH($A534,'Attandance Tracker'!$A$3:$A$30,0)),"")</f>
        <v xml:space="preserve"> Ayesha</v>
      </c>
      <c r="C534" s="14" t="str">
        <f>_xlfn.IFNA(INDEX('Attandance Tracker'!$C$3:$C$30,MATCH($A534,'Attandance Tracker'!$A$3:$A$30,0)),"")</f>
        <v>Operations</v>
      </c>
      <c r="D534" s="14">
        <v>4</v>
      </c>
      <c r="E534" s="7">
        <v>0.375</v>
      </c>
      <c r="F534" s="7">
        <v>0.75</v>
      </c>
      <c r="G534" s="7">
        <f t="shared" si="25"/>
        <v>0</v>
      </c>
      <c r="H534" s="7">
        <f t="shared" si="26"/>
        <v>0</v>
      </c>
      <c r="I534" t="str">
        <f>IFERROR(IF(INDEX('Attandance Tracker'!$D$3:$AH$50,MATCH($A534,'Attandance Tracker'!$A$3:$A$50,0),DAY($D534))="P","Present",IF(INDEX('Attandance Tracker'!$D$3:$AH$50,MATCH($A534,'Attandance Tracker'!$A$3:$A$50,0),DAY($D534))="A","Absent","Leave")),"")</f>
        <v>Leave</v>
      </c>
    </row>
    <row r="535" spans="1:9" x14ac:dyDescent="0.25">
      <c r="A535">
        <v>1018</v>
      </c>
      <c r="B535" t="str">
        <f>_xlfn.IFNA(INDEX('Attandance Tracker'!$B$3:$B$30,MATCH($A535,'Attandance Tracker'!$A$3:$A$30,0)),"")</f>
        <v xml:space="preserve"> Ayesha</v>
      </c>
      <c r="C535" s="14" t="str">
        <f>_xlfn.IFNA(INDEX('Attandance Tracker'!$C$3:$C$30,MATCH($A535,'Attandance Tracker'!$A$3:$A$30,0)),"")</f>
        <v>Operations</v>
      </c>
      <c r="D535" s="14">
        <v>5</v>
      </c>
      <c r="E535" s="7">
        <v>0.375</v>
      </c>
      <c r="F535" s="7">
        <v>0.83333333333333337</v>
      </c>
      <c r="G535" s="7">
        <f t="shared" si="25"/>
        <v>0</v>
      </c>
      <c r="H535" s="7">
        <f t="shared" si="26"/>
        <v>0</v>
      </c>
      <c r="I535" t="str">
        <f>IFERROR(IF(INDEX('Attandance Tracker'!$D$3:$AH$50,MATCH($A535,'Attandance Tracker'!$A$3:$A$50,0),DAY($D535))="P","Present",IF(INDEX('Attandance Tracker'!$D$3:$AH$50,MATCH($A535,'Attandance Tracker'!$A$3:$A$50,0),DAY($D535))="A","Absent","Leave")),"")</f>
        <v>Leave</v>
      </c>
    </row>
    <row r="536" spans="1:9" x14ac:dyDescent="0.25">
      <c r="A536">
        <v>1018</v>
      </c>
      <c r="B536" t="str">
        <f>_xlfn.IFNA(INDEX('Attandance Tracker'!$B$3:$B$30,MATCH($A536,'Attandance Tracker'!$A$3:$A$30,0)),"")</f>
        <v xml:space="preserve"> Ayesha</v>
      </c>
      <c r="C536" s="14" t="str">
        <f>_xlfn.IFNA(INDEX('Attandance Tracker'!$C$3:$C$30,MATCH($A536,'Attandance Tracker'!$A$3:$A$30,0)),"")</f>
        <v>Operations</v>
      </c>
      <c r="D536" s="14">
        <v>6</v>
      </c>
      <c r="E536" s="7">
        <v>0.33333333333333331</v>
      </c>
      <c r="F536" s="7">
        <v>0.83333333333333337</v>
      </c>
      <c r="G536" s="7">
        <f t="shared" si="25"/>
        <v>0.33333333333333331</v>
      </c>
      <c r="H536" s="7">
        <f t="shared" si="26"/>
        <v>0.16666666666666669</v>
      </c>
      <c r="I536" t="str">
        <f>IFERROR(IF(INDEX('Attandance Tracker'!$D$3:$AH$50,MATCH($A536,'Attandance Tracker'!$A$3:$A$50,0),DAY($D536))="P","Present",IF(INDEX('Attandance Tracker'!$D$3:$AH$50,MATCH($A536,'Attandance Tracker'!$A$3:$A$50,0),DAY($D536))="A","Absent","Leave")),"")</f>
        <v>Present</v>
      </c>
    </row>
    <row r="537" spans="1:9" x14ac:dyDescent="0.25">
      <c r="A537">
        <v>1018</v>
      </c>
      <c r="B537" t="str">
        <f>_xlfn.IFNA(INDEX('Attandance Tracker'!$B$3:$B$30,MATCH($A537,'Attandance Tracker'!$A$3:$A$30,0)),"")</f>
        <v xml:space="preserve"> Ayesha</v>
      </c>
      <c r="C537" s="14" t="str">
        <f>_xlfn.IFNA(INDEX('Attandance Tracker'!$C$3:$C$30,MATCH($A537,'Attandance Tracker'!$A$3:$A$30,0)),"")</f>
        <v>Operations</v>
      </c>
      <c r="D537" s="14">
        <v>7</v>
      </c>
      <c r="E537" s="7">
        <v>0.33333333333333331</v>
      </c>
      <c r="F537" s="7">
        <v>0.79166666666666663</v>
      </c>
      <c r="G537" s="7">
        <f t="shared" si="25"/>
        <v>0.33333333333333331</v>
      </c>
      <c r="H537" s="7">
        <f t="shared" si="26"/>
        <v>0.125</v>
      </c>
      <c r="I537" t="str">
        <f>IFERROR(IF(INDEX('Attandance Tracker'!$D$3:$AH$50,MATCH($A537,'Attandance Tracker'!$A$3:$A$50,0),DAY($D537))="P","Present",IF(INDEX('Attandance Tracker'!$D$3:$AH$50,MATCH($A537,'Attandance Tracker'!$A$3:$A$50,0),DAY($D537))="A","Absent","Leave")),"")</f>
        <v>Present</v>
      </c>
    </row>
    <row r="538" spans="1:9" x14ac:dyDescent="0.25">
      <c r="A538">
        <v>1018</v>
      </c>
      <c r="B538" t="str">
        <f>_xlfn.IFNA(INDEX('Attandance Tracker'!$B$3:$B$30,MATCH($A538,'Attandance Tracker'!$A$3:$A$30,0)),"")</f>
        <v xml:space="preserve"> Ayesha</v>
      </c>
      <c r="C538" s="14" t="str">
        <f>_xlfn.IFNA(INDEX('Attandance Tracker'!$C$3:$C$30,MATCH($A538,'Attandance Tracker'!$A$3:$A$30,0)),"")</f>
        <v>Operations</v>
      </c>
      <c r="D538" s="14">
        <v>8</v>
      </c>
      <c r="E538" s="7">
        <v>0.33333333333333331</v>
      </c>
      <c r="F538" s="7">
        <v>0.83333333333333337</v>
      </c>
      <c r="G538" s="7">
        <f t="shared" si="25"/>
        <v>0.33333333333333331</v>
      </c>
      <c r="H538" s="7">
        <f t="shared" si="26"/>
        <v>0.16666666666666669</v>
      </c>
      <c r="I538" t="str">
        <f>IFERROR(IF(INDEX('Attandance Tracker'!$D$3:$AH$50,MATCH($A538,'Attandance Tracker'!$A$3:$A$50,0),DAY($D538))="P","Present",IF(INDEX('Attandance Tracker'!$D$3:$AH$50,MATCH($A538,'Attandance Tracker'!$A$3:$A$50,0),DAY($D538))="A","Absent","Leave")),"")</f>
        <v>Present</v>
      </c>
    </row>
    <row r="539" spans="1:9" x14ac:dyDescent="0.25">
      <c r="A539">
        <v>1018</v>
      </c>
      <c r="B539" t="str">
        <f>_xlfn.IFNA(INDEX('Attandance Tracker'!$B$3:$B$30,MATCH($A539,'Attandance Tracker'!$A$3:$A$30,0)),"")</f>
        <v xml:space="preserve"> Ayesha</v>
      </c>
      <c r="C539" s="14" t="str">
        <f>_xlfn.IFNA(INDEX('Attandance Tracker'!$C$3:$C$30,MATCH($A539,'Attandance Tracker'!$A$3:$A$30,0)),"")</f>
        <v>Operations</v>
      </c>
      <c r="D539" s="14">
        <v>9</v>
      </c>
      <c r="E539" s="7">
        <v>0.33333333333333331</v>
      </c>
      <c r="F539" s="7">
        <v>0.75</v>
      </c>
      <c r="G539" s="7">
        <f t="shared" si="25"/>
        <v>0.33333333333333331</v>
      </c>
      <c r="H539" s="7">
        <f t="shared" si="26"/>
        <v>0</v>
      </c>
      <c r="I539" t="str">
        <f>IFERROR(IF(INDEX('Attandance Tracker'!$D$3:$AH$50,MATCH($A539,'Attandance Tracker'!$A$3:$A$50,0),DAY($D539))="P","Present",IF(INDEX('Attandance Tracker'!$D$3:$AH$50,MATCH($A539,'Attandance Tracker'!$A$3:$A$50,0),DAY($D539))="A","Absent","Leave")),"")</f>
        <v>Absent</v>
      </c>
    </row>
    <row r="540" spans="1:9" x14ac:dyDescent="0.25">
      <c r="A540">
        <v>1018</v>
      </c>
      <c r="B540" t="str">
        <f>_xlfn.IFNA(INDEX('Attandance Tracker'!$B$3:$B$30,MATCH($A540,'Attandance Tracker'!$A$3:$A$30,0)),"")</f>
        <v xml:space="preserve"> Ayesha</v>
      </c>
      <c r="C540" s="14" t="str">
        <f>_xlfn.IFNA(INDEX('Attandance Tracker'!$C$3:$C$30,MATCH($A540,'Attandance Tracker'!$A$3:$A$30,0)),"")</f>
        <v>Operations</v>
      </c>
      <c r="D540" s="14">
        <v>10</v>
      </c>
      <c r="E540" s="7">
        <v>0.33333333333333331</v>
      </c>
      <c r="F540" s="7">
        <v>0.83333333333333337</v>
      </c>
      <c r="G540" s="7">
        <f t="shared" si="25"/>
        <v>0.33333333333333331</v>
      </c>
      <c r="H540" s="7">
        <f t="shared" si="26"/>
        <v>0.16666666666666669</v>
      </c>
      <c r="I540" t="str">
        <f>IFERROR(IF(INDEX('Attandance Tracker'!$D$3:$AH$50,MATCH($A540,'Attandance Tracker'!$A$3:$A$50,0),DAY($D540))="P","Present",IF(INDEX('Attandance Tracker'!$D$3:$AH$50,MATCH($A540,'Attandance Tracker'!$A$3:$A$50,0),DAY($D540))="A","Absent","Leave")),"")</f>
        <v>Present</v>
      </c>
    </row>
    <row r="541" spans="1:9" x14ac:dyDescent="0.25">
      <c r="A541">
        <v>1018</v>
      </c>
      <c r="B541" t="str">
        <f>_xlfn.IFNA(INDEX('Attandance Tracker'!$B$3:$B$30,MATCH($A541,'Attandance Tracker'!$A$3:$A$30,0)),"")</f>
        <v xml:space="preserve"> Ayesha</v>
      </c>
      <c r="C541" s="14" t="str">
        <f>_xlfn.IFNA(INDEX('Attandance Tracker'!$C$3:$C$30,MATCH($A541,'Attandance Tracker'!$A$3:$A$30,0)),"")</f>
        <v>Operations</v>
      </c>
      <c r="D541" s="14">
        <v>11</v>
      </c>
      <c r="E541" s="7">
        <v>0.33333333333333331</v>
      </c>
      <c r="F541" s="7">
        <v>0.83333333333333337</v>
      </c>
      <c r="G541" s="7">
        <f t="shared" si="25"/>
        <v>0.33333333333333331</v>
      </c>
      <c r="H541" s="7">
        <f t="shared" si="26"/>
        <v>0.16666666666666669</v>
      </c>
      <c r="I541" t="str">
        <f>IFERROR(IF(INDEX('Attandance Tracker'!$D$3:$AH$50,MATCH($A541,'Attandance Tracker'!$A$3:$A$50,0),DAY($D541))="P","Present",IF(INDEX('Attandance Tracker'!$D$3:$AH$50,MATCH($A541,'Attandance Tracker'!$A$3:$A$50,0),DAY($D541))="A","Absent","Leave")),"")</f>
        <v>Present</v>
      </c>
    </row>
    <row r="542" spans="1:9" x14ac:dyDescent="0.25">
      <c r="A542">
        <v>1018</v>
      </c>
      <c r="B542" t="str">
        <f>_xlfn.IFNA(INDEX('Attandance Tracker'!$B$3:$B$30,MATCH($A542,'Attandance Tracker'!$A$3:$A$30,0)),"")</f>
        <v xml:space="preserve"> Ayesha</v>
      </c>
      <c r="C542" s="14" t="str">
        <f>_xlfn.IFNA(INDEX('Attandance Tracker'!$C$3:$C$30,MATCH($A542,'Attandance Tracker'!$A$3:$A$30,0)),"")</f>
        <v>Operations</v>
      </c>
      <c r="D542" s="14">
        <v>12</v>
      </c>
      <c r="E542" s="7">
        <v>0.33333333333333331</v>
      </c>
      <c r="F542" s="7">
        <v>0.83333333333333337</v>
      </c>
      <c r="G542" s="7">
        <f t="shared" si="25"/>
        <v>0.33333333333333331</v>
      </c>
      <c r="H542" s="7">
        <f t="shared" si="26"/>
        <v>0.16666666666666669</v>
      </c>
      <c r="I542" t="str">
        <f>IFERROR(IF(INDEX('Attandance Tracker'!$D$3:$AH$50,MATCH($A542,'Attandance Tracker'!$A$3:$A$50,0),DAY($D542))="P","Present",IF(INDEX('Attandance Tracker'!$D$3:$AH$50,MATCH($A542,'Attandance Tracker'!$A$3:$A$50,0),DAY($D542))="A","Absent","Leave")),"")</f>
        <v>Present</v>
      </c>
    </row>
    <row r="543" spans="1:9" x14ac:dyDescent="0.25">
      <c r="A543">
        <v>1018</v>
      </c>
      <c r="B543" t="str">
        <f>_xlfn.IFNA(INDEX('Attandance Tracker'!$B$3:$B$30,MATCH($A543,'Attandance Tracker'!$A$3:$A$30,0)),"")</f>
        <v xml:space="preserve"> Ayesha</v>
      </c>
      <c r="C543" s="14" t="str">
        <f>_xlfn.IFNA(INDEX('Attandance Tracker'!$C$3:$C$30,MATCH($A543,'Attandance Tracker'!$A$3:$A$30,0)),"")</f>
        <v>Operations</v>
      </c>
      <c r="D543" s="14">
        <v>13</v>
      </c>
      <c r="E543" s="7">
        <v>0.375</v>
      </c>
      <c r="F543" s="7">
        <v>0.79166666666666663</v>
      </c>
      <c r="G543" s="7">
        <f t="shared" si="25"/>
        <v>0.33333333333333331</v>
      </c>
      <c r="H543" s="7">
        <f t="shared" si="26"/>
        <v>8.3333333333333315E-2</v>
      </c>
      <c r="I543" t="str">
        <f>IFERROR(IF(INDEX('Attandance Tracker'!$D$3:$AH$50,MATCH($A543,'Attandance Tracker'!$A$3:$A$50,0),DAY($D543))="P","Present",IF(INDEX('Attandance Tracker'!$D$3:$AH$50,MATCH($A543,'Attandance Tracker'!$A$3:$A$50,0),DAY($D543))="A","Absent","Leave")),"")</f>
        <v>Present</v>
      </c>
    </row>
    <row r="544" spans="1:9" x14ac:dyDescent="0.25">
      <c r="A544">
        <v>1018</v>
      </c>
      <c r="B544" t="str">
        <f>_xlfn.IFNA(INDEX('Attandance Tracker'!$B$3:$B$30,MATCH($A544,'Attandance Tracker'!$A$3:$A$30,0)),"")</f>
        <v xml:space="preserve"> Ayesha</v>
      </c>
      <c r="C544" s="14" t="str">
        <f>_xlfn.IFNA(INDEX('Attandance Tracker'!$C$3:$C$30,MATCH($A544,'Attandance Tracker'!$A$3:$A$30,0)),"")</f>
        <v>Operations</v>
      </c>
      <c r="D544" s="14">
        <v>14</v>
      </c>
      <c r="E544" s="7">
        <v>0.375</v>
      </c>
      <c r="F544" s="7">
        <v>0.83333333333333337</v>
      </c>
      <c r="G544" s="7">
        <f t="shared" si="25"/>
        <v>0.33333333333333331</v>
      </c>
      <c r="H544" s="7">
        <f t="shared" si="26"/>
        <v>0.12500000000000006</v>
      </c>
      <c r="I544" t="str">
        <f>IFERROR(IF(INDEX('Attandance Tracker'!$D$3:$AH$50,MATCH($A544,'Attandance Tracker'!$A$3:$A$50,0),DAY($D544))="P","Present",IF(INDEX('Attandance Tracker'!$D$3:$AH$50,MATCH($A544,'Attandance Tracker'!$A$3:$A$50,0),DAY($D544))="A","Absent","Leave")),"")</f>
        <v>Present</v>
      </c>
    </row>
    <row r="545" spans="1:9" x14ac:dyDescent="0.25">
      <c r="A545">
        <v>1018</v>
      </c>
      <c r="B545" t="str">
        <f>_xlfn.IFNA(INDEX('Attandance Tracker'!$B$3:$B$30,MATCH($A545,'Attandance Tracker'!$A$3:$A$30,0)),"")</f>
        <v xml:space="preserve"> Ayesha</v>
      </c>
      <c r="C545" s="14" t="str">
        <f>_xlfn.IFNA(INDEX('Attandance Tracker'!$C$3:$C$30,MATCH($A545,'Attandance Tracker'!$A$3:$A$30,0)),"")</f>
        <v>Operations</v>
      </c>
      <c r="D545" s="14">
        <v>15</v>
      </c>
      <c r="E545" s="7">
        <v>0.375</v>
      </c>
      <c r="F545" s="7">
        <v>0.75</v>
      </c>
      <c r="G545" s="7">
        <f t="shared" si="25"/>
        <v>0.33333333333333331</v>
      </c>
      <c r="H545" s="7">
        <f t="shared" si="26"/>
        <v>4.1666666666666685E-2</v>
      </c>
      <c r="I545" t="str">
        <f>IFERROR(IF(INDEX('Attandance Tracker'!$D$3:$AH$50,MATCH($A545,'Attandance Tracker'!$A$3:$A$50,0),DAY($D545))="P","Present",IF(INDEX('Attandance Tracker'!$D$3:$AH$50,MATCH($A545,'Attandance Tracker'!$A$3:$A$50,0),DAY($D545))="A","Absent","Leave")),"")</f>
        <v>Present</v>
      </c>
    </row>
    <row r="546" spans="1:9" x14ac:dyDescent="0.25">
      <c r="A546">
        <v>1018</v>
      </c>
      <c r="B546" t="str">
        <f>_xlfn.IFNA(INDEX('Attandance Tracker'!$B$3:$B$30,MATCH($A546,'Attandance Tracker'!$A$3:$A$30,0)),"")</f>
        <v xml:space="preserve"> Ayesha</v>
      </c>
      <c r="C546" s="14" t="str">
        <f>_xlfn.IFNA(INDEX('Attandance Tracker'!$C$3:$C$30,MATCH($A546,'Attandance Tracker'!$A$3:$A$30,0)),"")</f>
        <v>Operations</v>
      </c>
      <c r="D546" s="14">
        <v>16</v>
      </c>
      <c r="E546" s="7">
        <v>0.375</v>
      </c>
      <c r="F546" s="7">
        <v>0.83333333333333337</v>
      </c>
      <c r="G546" s="7">
        <f t="shared" si="25"/>
        <v>0.33333333333333331</v>
      </c>
      <c r="H546" s="7">
        <f t="shared" si="26"/>
        <v>0.12500000000000006</v>
      </c>
      <c r="I546" t="str">
        <f>IFERROR(IF(INDEX('Attandance Tracker'!$D$3:$AH$50,MATCH($A546,'Attandance Tracker'!$A$3:$A$50,0),DAY($D546))="P","Present",IF(INDEX('Attandance Tracker'!$D$3:$AH$50,MATCH($A546,'Attandance Tracker'!$A$3:$A$50,0),DAY($D546))="A","Absent","Leave")),"")</f>
        <v>Present</v>
      </c>
    </row>
    <row r="547" spans="1:9" x14ac:dyDescent="0.25">
      <c r="A547">
        <v>1018</v>
      </c>
      <c r="B547" t="str">
        <f>_xlfn.IFNA(INDEX('Attandance Tracker'!$B$3:$B$30,MATCH($A547,'Attandance Tracker'!$A$3:$A$30,0)),"")</f>
        <v xml:space="preserve"> Ayesha</v>
      </c>
      <c r="C547" s="14" t="str">
        <f>_xlfn.IFNA(INDEX('Attandance Tracker'!$C$3:$C$30,MATCH($A547,'Attandance Tracker'!$A$3:$A$30,0)),"")</f>
        <v>Operations</v>
      </c>
      <c r="D547" s="14">
        <v>17</v>
      </c>
      <c r="E547" s="7">
        <v>0.33333333333333331</v>
      </c>
      <c r="F547" s="7">
        <v>0.83333333333333337</v>
      </c>
      <c r="G547" s="7">
        <f t="shared" si="25"/>
        <v>0.33333333333333331</v>
      </c>
      <c r="H547" s="7">
        <f t="shared" si="26"/>
        <v>0.16666666666666669</v>
      </c>
      <c r="I547" t="str">
        <f>IFERROR(IF(INDEX('Attandance Tracker'!$D$3:$AH$50,MATCH($A547,'Attandance Tracker'!$A$3:$A$50,0),DAY($D547))="P","Present",IF(INDEX('Attandance Tracker'!$D$3:$AH$50,MATCH($A547,'Attandance Tracker'!$A$3:$A$50,0),DAY($D547))="A","Absent","Leave")),"")</f>
        <v>Present</v>
      </c>
    </row>
    <row r="548" spans="1:9" x14ac:dyDescent="0.25">
      <c r="A548">
        <v>1018</v>
      </c>
      <c r="B548" t="str">
        <f>_xlfn.IFNA(INDEX('Attandance Tracker'!$B$3:$B$30,MATCH($A548,'Attandance Tracker'!$A$3:$A$30,0)),"")</f>
        <v xml:space="preserve"> Ayesha</v>
      </c>
      <c r="C548" s="14" t="str">
        <f>_xlfn.IFNA(INDEX('Attandance Tracker'!$C$3:$C$30,MATCH($A548,'Attandance Tracker'!$A$3:$A$30,0)),"")</f>
        <v>Operations</v>
      </c>
      <c r="D548" s="14">
        <v>18</v>
      </c>
      <c r="E548" s="7">
        <v>0.33333333333333331</v>
      </c>
      <c r="F548" s="7">
        <v>0.79166666666666663</v>
      </c>
      <c r="G548" s="7">
        <f t="shared" si="25"/>
        <v>0.33333333333333331</v>
      </c>
      <c r="H548" s="7">
        <f t="shared" si="26"/>
        <v>0.125</v>
      </c>
      <c r="I548" t="str">
        <f>IFERROR(IF(INDEX('Attandance Tracker'!$D$3:$AH$50,MATCH($A548,'Attandance Tracker'!$A$3:$A$50,0),DAY($D548))="P","Present",IF(INDEX('Attandance Tracker'!$D$3:$AH$50,MATCH($A548,'Attandance Tracker'!$A$3:$A$50,0),DAY($D548))="A","Absent","Leave")),"")</f>
        <v>Present</v>
      </c>
    </row>
    <row r="549" spans="1:9" x14ac:dyDescent="0.25">
      <c r="A549">
        <v>1018</v>
      </c>
      <c r="B549" t="str">
        <f>_xlfn.IFNA(INDEX('Attandance Tracker'!$B$3:$B$30,MATCH($A549,'Attandance Tracker'!$A$3:$A$30,0)),"")</f>
        <v xml:space="preserve"> Ayesha</v>
      </c>
      <c r="C549" s="14" t="str">
        <f>_xlfn.IFNA(INDEX('Attandance Tracker'!$C$3:$C$30,MATCH($A549,'Attandance Tracker'!$A$3:$A$30,0)),"")</f>
        <v>Operations</v>
      </c>
      <c r="D549" s="14">
        <v>19</v>
      </c>
      <c r="E549" s="7">
        <v>0.33333333333333331</v>
      </c>
      <c r="F549" s="7">
        <v>0.83333333333333337</v>
      </c>
      <c r="G549" s="7">
        <f t="shared" si="25"/>
        <v>0.33333333333333331</v>
      </c>
      <c r="H549" s="7">
        <f t="shared" si="26"/>
        <v>0.16666666666666669</v>
      </c>
      <c r="I549" t="str">
        <f>IFERROR(IF(INDEX('Attandance Tracker'!$D$3:$AH$50,MATCH($A549,'Attandance Tracker'!$A$3:$A$50,0),DAY($D549))="P","Present",IF(INDEX('Attandance Tracker'!$D$3:$AH$50,MATCH($A549,'Attandance Tracker'!$A$3:$A$50,0),DAY($D549))="A","Absent","Leave")),"")</f>
        <v>Present</v>
      </c>
    </row>
    <row r="550" spans="1:9" x14ac:dyDescent="0.25">
      <c r="A550">
        <v>1018</v>
      </c>
      <c r="B550" t="str">
        <f>_xlfn.IFNA(INDEX('Attandance Tracker'!$B$3:$B$30,MATCH($A550,'Attandance Tracker'!$A$3:$A$30,0)),"")</f>
        <v xml:space="preserve"> Ayesha</v>
      </c>
      <c r="C550" s="14" t="str">
        <f>_xlfn.IFNA(INDEX('Attandance Tracker'!$C$3:$C$30,MATCH($A550,'Attandance Tracker'!$A$3:$A$30,0)),"")</f>
        <v>Operations</v>
      </c>
      <c r="D550" s="14">
        <v>20</v>
      </c>
      <c r="E550" s="7">
        <v>0.33333333333333331</v>
      </c>
      <c r="F550" s="7">
        <v>0.75</v>
      </c>
      <c r="G550" s="7">
        <f t="shared" si="25"/>
        <v>0.33333333333333331</v>
      </c>
      <c r="H550" s="7">
        <f t="shared" si="26"/>
        <v>8.333333333333337E-2</v>
      </c>
      <c r="I550" t="str">
        <f>IFERROR(IF(INDEX('Attandance Tracker'!$D$3:$AH$50,MATCH($A550,'Attandance Tracker'!$A$3:$A$50,0),DAY($D550))="P","Present",IF(INDEX('Attandance Tracker'!$D$3:$AH$50,MATCH($A550,'Attandance Tracker'!$A$3:$A$50,0),DAY($D550))="A","Absent","Leave")),"")</f>
        <v>Present</v>
      </c>
    </row>
    <row r="551" spans="1:9" x14ac:dyDescent="0.25">
      <c r="A551">
        <v>1018</v>
      </c>
      <c r="B551" t="str">
        <f>_xlfn.IFNA(INDEX('Attandance Tracker'!$B$3:$B$30,MATCH($A551,'Attandance Tracker'!$A$3:$A$30,0)),"")</f>
        <v xml:space="preserve"> Ayesha</v>
      </c>
      <c r="C551" s="14" t="str">
        <f>_xlfn.IFNA(INDEX('Attandance Tracker'!$C$3:$C$30,MATCH($A551,'Attandance Tracker'!$A$3:$A$30,0)),"")</f>
        <v>Operations</v>
      </c>
      <c r="D551" s="14">
        <v>21</v>
      </c>
      <c r="E551" s="7">
        <v>0.33333333333333331</v>
      </c>
      <c r="F551" s="7">
        <v>0.79166666666666663</v>
      </c>
      <c r="G551" s="7">
        <f t="shared" si="25"/>
        <v>0.33333333333333331</v>
      </c>
      <c r="H551" s="7">
        <f t="shared" si="26"/>
        <v>0.125</v>
      </c>
      <c r="I551" t="str">
        <f>IFERROR(IF(INDEX('Attandance Tracker'!$D$3:$AH$50,MATCH($A551,'Attandance Tracker'!$A$3:$A$50,0),DAY($D551))="P","Present",IF(INDEX('Attandance Tracker'!$D$3:$AH$50,MATCH($A551,'Attandance Tracker'!$A$3:$A$50,0),DAY($D551))="A","Absent","Leave")),"")</f>
        <v>Present</v>
      </c>
    </row>
    <row r="552" spans="1:9" x14ac:dyDescent="0.25">
      <c r="A552">
        <v>1018</v>
      </c>
      <c r="B552" t="str">
        <f>_xlfn.IFNA(INDEX('Attandance Tracker'!$B$3:$B$30,MATCH($A552,'Attandance Tracker'!$A$3:$A$30,0)),"")</f>
        <v xml:space="preserve"> Ayesha</v>
      </c>
      <c r="C552" s="14" t="str">
        <f>_xlfn.IFNA(INDEX('Attandance Tracker'!$C$3:$C$30,MATCH($A552,'Attandance Tracker'!$A$3:$A$30,0)),"")</f>
        <v>Operations</v>
      </c>
      <c r="D552" s="14">
        <v>22</v>
      </c>
      <c r="E552" s="7">
        <v>0.33333333333333331</v>
      </c>
      <c r="F552" s="7">
        <v>0.83333333333333337</v>
      </c>
      <c r="G552" s="7">
        <f t="shared" si="25"/>
        <v>0.33333333333333331</v>
      </c>
      <c r="H552" s="7">
        <f t="shared" si="26"/>
        <v>0.16666666666666669</v>
      </c>
      <c r="I552" t="str">
        <f>IFERROR(IF(INDEX('Attandance Tracker'!$D$3:$AH$50,MATCH($A552,'Attandance Tracker'!$A$3:$A$50,0),DAY($D552))="P","Present",IF(INDEX('Attandance Tracker'!$D$3:$AH$50,MATCH($A552,'Attandance Tracker'!$A$3:$A$50,0),DAY($D552))="A","Absent","Leave")),"")</f>
        <v>Present</v>
      </c>
    </row>
    <row r="553" spans="1:9" x14ac:dyDescent="0.25">
      <c r="A553">
        <v>1018</v>
      </c>
      <c r="B553" t="str">
        <f>_xlfn.IFNA(INDEX('Attandance Tracker'!$B$3:$B$30,MATCH($A553,'Attandance Tracker'!$A$3:$A$30,0)),"")</f>
        <v xml:space="preserve"> Ayesha</v>
      </c>
      <c r="C553" s="14" t="str">
        <f>_xlfn.IFNA(INDEX('Attandance Tracker'!$C$3:$C$30,MATCH($A553,'Attandance Tracker'!$A$3:$A$30,0)),"")</f>
        <v>Operations</v>
      </c>
      <c r="D553" s="14">
        <v>23</v>
      </c>
      <c r="E553" s="7">
        <v>0.33333333333333331</v>
      </c>
      <c r="F553" s="7">
        <v>0.75</v>
      </c>
      <c r="G553" s="7">
        <f t="shared" si="25"/>
        <v>0.33333333333333331</v>
      </c>
      <c r="H553" s="7">
        <f t="shared" si="26"/>
        <v>8.333333333333337E-2</v>
      </c>
      <c r="I553" t="str">
        <f>IFERROR(IF(INDEX('Attandance Tracker'!$D$3:$AH$50,MATCH($A553,'Attandance Tracker'!$A$3:$A$50,0),DAY($D553))="P","Present",IF(INDEX('Attandance Tracker'!$D$3:$AH$50,MATCH($A553,'Attandance Tracker'!$A$3:$A$50,0),DAY($D553))="A","Absent","Leave")),"")</f>
        <v>Present</v>
      </c>
    </row>
    <row r="554" spans="1:9" x14ac:dyDescent="0.25">
      <c r="A554">
        <v>1018</v>
      </c>
      <c r="B554" t="str">
        <f>_xlfn.IFNA(INDEX('Attandance Tracker'!$B$3:$B$30,MATCH($A554,'Attandance Tracker'!$A$3:$A$30,0)),"")</f>
        <v xml:space="preserve"> Ayesha</v>
      </c>
      <c r="C554" s="14" t="str">
        <f>_xlfn.IFNA(INDEX('Attandance Tracker'!$C$3:$C$30,MATCH($A554,'Attandance Tracker'!$A$3:$A$30,0)),"")</f>
        <v>Operations</v>
      </c>
      <c r="D554" s="14">
        <v>24</v>
      </c>
      <c r="E554" s="7">
        <v>0.375</v>
      </c>
      <c r="F554" s="7">
        <v>0.83333333333333337</v>
      </c>
      <c r="G554" s="7">
        <f t="shared" si="25"/>
        <v>0.33333333333333331</v>
      </c>
      <c r="H554" s="7">
        <f t="shared" si="26"/>
        <v>0.12500000000000006</v>
      </c>
      <c r="I554" t="str">
        <f>IFERROR(IF(INDEX('Attandance Tracker'!$D$3:$AH$50,MATCH($A554,'Attandance Tracker'!$A$3:$A$50,0),DAY($D554))="P","Present",IF(INDEX('Attandance Tracker'!$D$3:$AH$50,MATCH($A554,'Attandance Tracker'!$A$3:$A$50,0),DAY($D554))="A","Absent","Leave")),"")</f>
        <v>Present</v>
      </c>
    </row>
    <row r="555" spans="1:9" x14ac:dyDescent="0.25">
      <c r="A555">
        <v>1018</v>
      </c>
      <c r="B555" t="str">
        <f>_xlfn.IFNA(INDEX('Attandance Tracker'!$B$3:$B$30,MATCH($A555,'Attandance Tracker'!$A$3:$A$30,0)),"")</f>
        <v xml:space="preserve"> Ayesha</v>
      </c>
      <c r="C555" s="14" t="str">
        <f>_xlfn.IFNA(INDEX('Attandance Tracker'!$C$3:$C$30,MATCH($A555,'Attandance Tracker'!$A$3:$A$30,0)),"")</f>
        <v>Operations</v>
      </c>
      <c r="D555" s="14">
        <v>25</v>
      </c>
      <c r="E555" s="7">
        <v>0.375</v>
      </c>
      <c r="F555" s="7">
        <v>0.83333333333333337</v>
      </c>
      <c r="G555" s="7">
        <f t="shared" si="25"/>
        <v>0.33333333333333331</v>
      </c>
      <c r="H555" s="7">
        <f t="shared" si="26"/>
        <v>0.12500000000000006</v>
      </c>
      <c r="I555" t="str">
        <f>IFERROR(IF(INDEX('Attandance Tracker'!$D$3:$AH$50,MATCH($A555,'Attandance Tracker'!$A$3:$A$50,0),DAY($D555))="P","Present",IF(INDEX('Attandance Tracker'!$D$3:$AH$50,MATCH($A555,'Attandance Tracker'!$A$3:$A$50,0),DAY($D555))="A","Absent","Leave")),"")</f>
        <v>Present</v>
      </c>
    </row>
    <row r="556" spans="1:9" x14ac:dyDescent="0.25">
      <c r="A556">
        <v>1018</v>
      </c>
      <c r="B556" t="str">
        <f>_xlfn.IFNA(INDEX('Attandance Tracker'!$B$3:$B$30,MATCH($A556,'Attandance Tracker'!$A$3:$A$30,0)),"")</f>
        <v xml:space="preserve"> Ayesha</v>
      </c>
      <c r="C556" s="14" t="str">
        <f>_xlfn.IFNA(INDEX('Attandance Tracker'!$C$3:$C$30,MATCH($A556,'Attandance Tracker'!$A$3:$A$30,0)),"")</f>
        <v>Operations</v>
      </c>
      <c r="D556" s="14">
        <v>26</v>
      </c>
      <c r="E556" s="7">
        <v>0.33333333333333331</v>
      </c>
      <c r="F556" s="7">
        <v>0.79166666666666663</v>
      </c>
      <c r="G556" s="7">
        <f t="shared" si="25"/>
        <v>0.33333333333333331</v>
      </c>
      <c r="H556" s="7">
        <f t="shared" si="26"/>
        <v>0.125</v>
      </c>
      <c r="I556" t="str">
        <f>IFERROR(IF(INDEX('Attandance Tracker'!$D$3:$AH$50,MATCH($A556,'Attandance Tracker'!$A$3:$A$50,0),DAY($D556))="P","Present",IF(INDEX('Attandance Tracker'!$D$3:$AH$50,MATCH($A556,'Attandance Tracker'!$A$3:$A$50,0),DAY($D556))="A","Absent","Leave")),"")</f>
        <v>Present</v>
      </c>
    </row>
    <row r="557" spans="1:9" x14ac:dyDescent="0.25">
      <c r="A557">
        <v>1018</v>
      </c>
      <c r="B557" t="str">
        <f>_xlfn.IFNA(INDEX('Attandance Tracker'!$B$3:$B$30,MATCH($A557,'Attandance Tracker'!$A$3:$A$30,0)),"")</f>
        <v xml:space="preserve"> Ayesha</v>
      </c>
      <c r="C557" s="14" t="str">
        <f>_xlfn.IFNA(INDEX('Attandance Tracker'!$C$3:$C$30,MATCH($A557,'Attandance Tracker'!$A$3:$A$30,0)),"")</f>
        <v>Operations</v>
      </c>
      <c r="D557" s="14">
        <v>27</v>
      </c>
      <c r="E557" s="7">
        <v>0.375</v>
      </c>
      <c r="F557" s="7">
        <v>0.83333333333333337</v>
      </c>
      <c r="G557" s="7">
        <f t="shared" si="25"/>
        <v>0.33333333333333331</v>
      </c>
      <c r="H557" s="7">
        <f t="shared" si="26"/>
        <v>0.12500000000000006</v>
      </c>
      <c r="I557" t="str">
        <f>IFERROR(IF(INDEX('Attandance Tracker'!$D$3:$AH$50,MATCH($A557,'Attandance Tracker'!$A$3:$A$50,0),DAY($D557))="P","Present",IF(INDEX('Attandance Tracker'!$D$3:$AH$50,MATCH($A557,'Attandance Tracker'!$A$3:$A$50,0),DAY($D557))="A","Absent","Leave")),"")</f>
        <v>Present</v>
      </c>
    </row>
    <row r="558" spans="1:9" x14ac:dyDescent="0.25">
      <c r="A558">
        <v>1018</v>
      </c>
      <c r="B558" t="str">
        <f>_xlfn.IFNA(INDEX('Attandance Tracker'!$B$3:$B$30,MATCH($A558,'Attandance Tracker'!$A$3:$A$30,0)),"")</f>
        <v xml:space="preserve"> Ayesha</v>
      </c>
      <c r="C558" s="14" t="str">
        <f>_xlfn.IFNA(INDEX('Attandance Tracker'!$C$3:$C$30,MATCH($A558,'Attandance Tracker'!$A$3:$A$30,0)),"")</f>
        <v>Operations</v>
      </c>
      <c r="D558" s="14">
        <v>28</v>
      </c>
      <c r="E558" s="7">
        <v>0.375</v>
      </c>
      <c r="F558" s="7">
        <v>0.75</v>
      </c>
      <c r="G558" s="7">
        <f t="shared" si="25"/>
        <v>0.33333333333333331</v>
      </c>
      <c r="H558" s="7">
        <f t="shared" si="26"/>
        <v>4.1666666666666685E-2</v>
      </c>
      <c r="I558" t="str">
        <f>IFERROR(IF(INDEX('Attandance Tracker'!$D$3:$AH$50,MATCH($A558,'Attandance Tracker'!$A$3:$A$50,0),DAY($D558))="P","Present",IF(INDEX('Attandance Tracker'!$D$3:$AH$50,MATCH($A558,'Attandance Tracker'!$A$3:$A$50,0),DAY($D558))="A","Absent","Leave")),"")</f>
        <v>Present</v>
      </c>
    </row>
    <row r="559" spans="1:9" x14ac:dyDescent="0.25">
      <c r="A559">
        <v>1018</v>
      </c>
      <c r="B559" t="str">
        <f>_xlfn.IFNA(INDEX('Attandance Tracker'!$B$3:$B$30,MATCH($A559,'Attandance Tracker'!$A$3:$A$30,0)),"")</f>
        <v xml:space="preserve"> Ayesha</v>
      </c>
      <c r="C559" s="14" t="str">
        <f>_xlfn.IFNA(INDEX('Attandance Tracker'!$C$3:$C$30,MATCH($A559,'Attandance Tracker'!$A$3:$A$30,0)),"")</f>
        <v>Operations</v>
      </c>
      <c r="D559" s="14">
        <v>29</v>
      </c>
      <c r="E559" s="7">
        <v>0.375</v>
      </c>
      <c r="F559" s="7">
        <v>0.83333333333333337</v>
      </c>
      <c r="G559" s="7">
        <f t="shared" si="25"/>
        <v>0.33333333333333331</v>
      </c>
      <c r="H559" s="7">
        <f t="shared" si="26"/>
        <v>0.12500000000000006</v>
      </c>
      <c r="I559" t="str">
        <f>IFERROR(IF(INDEX('Attandance Tracker'!$D$3:$AH$50,MATCH($A559,'Attandance Tracker'!$A$3:$A$50,0),DAY($D559))="P","Present",IF(INDEX('Attandance Tracker'!$D$3:$AH$50,MATCH($A559,'Attandance Tracker'!$A$3:$A$50,0),DAY($D559))="A","Absent","Leave")),"")</f>
        <v>Present</v>
      </c>
    </row>
    <row r="560" spans="1:9" x14ac:dyDescent="0.25">
      <c r="A560">
        <v>1018</v>
      </c>
      <c r="B560" t="str">
        <f>_xlfn.IFNA(INDEX('Attandance Tracker'!$B$3:$B$30,MATCH($A560,'Attandance Tracker'!$A$3:$A$30,0)),"")</f>
        <v xml:space="preserve"> Ayesha</v>
      </c>
      <c r="C560" s="14" t="str">
        <f>_xlfn.IFNA(INDEX('Attandance Tracker'!$C$3:$C$30,MATCH($A560,'Attandance Tracker'!$A$3:$A$30,0)),"")</f>
        <v>Operations</v>
      </c>
      <c r="D560" s="14">
        <v>30</v>
      </c>
      <c r="E560" s="7">
        <v>0.33333333333333331</v>
      </c>
      <c r="F560" s="7">
        <v>0.83333333333333337</v>
      </c>
      <c r="G560" s="7">
        <f t="shared" si="25"/>
        <v>0.33333333333333331</v>
      </c>
      <c r="H560" s="7">
        <f t="shared" si="26"/>
        <v>0.16666666666666669</v>
      </c>
      <c r="I560" t="str">
        <f>IFERROR(IF(INDEX('Attandance Tracker'!$D$3:$AH$50,MATCH($A560,'Attandance Tracker'!$A$3:$A$50,0),DAY($D560))="P","Present",IF(INDEX('Attandance Tracker'!$D$3:$AH$50,MATCH($A560,'Attandance Tracker'!$A$3:$A$50,0),DAY($D560))="A","Absent","Leave")),"")</f>
        <v>Present</v>
      </c>
    </row>
    <row r="561" spans="1:9" x14ac:dyDescent="0.25">
      <c r="A561">
        <v>1018</v>
      </c>
      <c r="B561" t="str">
        <f>_xlfn.IFNA(INDEX('Attandance Tracker'!$B$3:$B$30,MATCH($A561,'Attandance Tracker'!$A$3:$A$30,0)),"")</f>
        <v xml:space="preserve"> Ayesha</v>
      </c>
      <c r="C561" s="14" t="str">
        <f>_xlfn.IFNA(INDEX('Attandance Tracker'!$C$3:$C$30,MATCH($A561,'Attandance Tracker'!$A$3:$A$30,0)),"")</f>
        <v>Operations</v>
      </c>
      <c r="D561" s="14">
        <v>31</v>
      </c>
      <c r="E561" s="7">
        <v>0.33333333333333331</v>
      </c>
      <c r="F561" s="7">
        <v>0.79166666666666663</v>
      </c>
      <c r="G561" s="7">
        <f t="shared" si="25"/>
        <v>0.33333333333333331</v>
      </c>
      <c r="H561" s="7">
        <f t="shared" si="26"/>
        <v>0.125</v>
      </c>
      <c r="I561" t="str">
        <f>IFERROR(IF(INDEX('Attandance Tracker'!$D$3:$AH$50,MATCH($A561,'Attandance Tracker'!$A$3:$A$50,0),DAY($D561))="P","Present",IF(INDEX('Attandance Tracker'!$D$3:$AH$50,MATCH($A561,'Attandance Tracker'!$A$3:$A$50,0),DAY($D561))="A","Absent","Leave")),"")</f>
        <v>Present</v>
      </c>
    </row>
    <row r="562" spans="1:9" x14ac:dyDescent="0.25">
      <c r="A562">
        <v>1019</v>
      </c>
      <c r="B562" t="str">
        <f>_xlfn.IFNA(INDEX('Attandance Tracker'!$B$3:$B$30,MATCH($A562,'Attandance Tracker'!$A$3:$A$30,0)),"")</f>
        <v xml:space="preserve"> Suresh</v>
      </c>
      <c r="C562" s="14" t="str">
        <f>_xlfn.IFNA(INDEX('Attandance Tracker'!$C$3:$C$30,MATCH($A562,'Attandance Tracker'!$A$3:$A$30,0)),"")</f>
        <v>Operations</v>
      </c>
      <c r="D562" s="14">
        <v>1</v>
      </c>
      <c r="E562" s="7">
        <v>0.375</v>
      </c>
      <c r="F562" s="7">
        <v>0.83333333333333337</v>
      </c>
      <c r="G562" s="7">
        <f t="shared" si="25"/>
        <v>0.33333333333333331</v>
      </c>
      <c r="H562" s="7">
        <f t="shared" si="26"/>
        <v>0.12500000000000006</v>
      </c>
      <c r="I562" t="str">
        <f>IFERROR(IF(INDEX('Attandance Tracker'!$D$3:$AH$50,MATCH($A562,'Attandance Tracker'!$A$3:$A$50,0),DAY($D562))="P","Present",IF(INDEX('Attandance Tracker'!$D$3:$AH$50,MATCH($A562,'Attandance Tracker'!$A$3:$A$50,0),DAY($D562))="A","Absent","Leave")),"")</f>
        <v>Present</v>
      </c>
    </row>
    <row r="563" spans="1:9" x14ac:dyDescent="0.25">
      <c r="A563">
        <v>1019</v>
      </c>
      <c r="B563" t="str">
        <f>_xlfn.IFNA(INDEX('Attandance Tracker'!$B$3:$B$30,MATCH($A563,'Attandance Tracker'!$A$3:$A$30,0)),"")</f>
        <v xml:space="preserve"> Suresh</v>
      </c>
      <c r="C563" s="14" t="str">
        <f>_xlfn.IFNA(INDEX('Attandance Tracker'!$C$3:$C$30,MATCH($A563,'Attandance Tracker'!$A$3:$A$30,0)),"")</f>
        <v>Operations</v>
      </c>
      <c r="D563" s="14">
        <v>2</v>
      </c>
      <c r="E563" s="7">
        <v>0.375</v>
      </c>
      <c r="F563" s="7">
        <v>0.75</v>
      </c>
      <c r="G563" s="7">
        <f t="shared" si="25"/>
        <v>0.33333333333333331</v>
      </c>
      <c r="H563" s="7">
        <f t="shared" si="26"/>
        <v>4.1666666666666685E-2</v>
      </c>
      <c r="I563" t="str">
        <f>IFERROR(IF(INDEX('Attandance Tracker'!$D$3:$AH$50,MATCH($A563,'Attandance Tracker'!$A$3:$A$50,0),DAY($D563))="P","Present",IF(INDEX('Attandance Tracker'!$D$3:$AH$50,MATCH($A563,'Attandance Tracker'!$A$3:$A$50,0),DAY($D563))="A","Absent","Leave")),"")</f>
        <v>Present</v>
      </c>
    </row>
    <row r="564" spans="1:9" x14ac:dyDescent="0.25">
      <c r="A564">
        <v>1019</v>
      </c>
      <c r="B564" t="str">
        <f>_xlfn.IFNA(INDEX('Attandance Tracker'!$B$3:$B$30,MATCH($A564,'Attandance Tracker'!$A$3:$A$30,0)),"")</f>
        <v xml:space="preserve"> Suresh</v>
      </c>
      <c r="C564" s="14" t="str">
        <f>_xlfn.IFNA(INDEX('Attandance Tracker'!$C$3:$C$30,MATCH($A564,'Attandance Tracker'!$A$3:$A$30,0)),"")</f>
        <v>Operations</v>
      </c>
      <c r="D564" s="14">
        <v>3</v>
      </c>
      <c r="E564" s="7">
        <v>0.375</v>
      </c>
      <c r="F564" s="7">
        <v>0.83333333333333337</v>
      </c>
      <c r="G564" s="7">
        <f t="shared" si="25"/>
        <v>0.33333333333333331</v>
      </c>
      <c r="H564" s="7">
        <f t="shared" si="26"/>
        <v>0.12500000000000006</v>
      </c>
      <c r="I564" t="str">
        <f>IFERROR(IF(INDEX('Attandance Tracker'!$D$3:$AH$50,MATCH($A564,'Attandance Tracker'!$A$3:$A$50,0),DAY($D564))="P","Present",IF(INDEX('Attandance Tracker'!$D$3:$AH$50,MATCH($A564,'Attandance Tracker'!$A$3:$A$50,0),DAY($D564))="A","Absent","Leave")),"")</f>
        <v>Present</v>
      </c>
    </row>
    <row r="565" spans="1:9" x14ac:dyDescent="0.25">
      <c r="A565">
        <v>1019</v>
      </c>
      <c r="B565" t="str">
        <f>_xlfn.IFNA(INDEX('Attandance Tracker'!$B$3:$B$30,MATCH($A565,'Attandance Tracker'!$A$3:$A$30,0)),"")</f>
        <v xml:space="preserve"> Suresh</v>
      </c>
      <c r="C565" s="14" t="str">
        <f>_xlfn.IFNA(INDEX('Attandance Tracker'!$C$3:$C$30,MATCH($A565,'Attandance Tracker'!$A$3:$A$30,0)),"")</f>
        <v>Operations</v>
      </c>
      <c r="D565" s="14">
        <v>4</v>
      </c>
      <c r="E565" s="7">
        <v>0.33333333333333331</v>
      </c>
      <c r="F565" s="7">
        <v>0.83333333333333337</v>
      </c>
      <c r="G565" s="7">
        <f t="shared" si="25"/>
        <v>0.33333333333333331</v>
      </c>
      <c r="H565" s="7">
        <f t="shared" si="26"/>
        <v>0.16666666666666669</v>
      </c>
      <c r="I565" t="str">
        <f>IFERROR(IF(INDEX('Attandance Tracker'!$D$3:$AH$50,MATCH($A565,'Attandance Tracker'!$A$3:$A$50,0),DAY($D565))="P","Present",IF(INDEX('Attandance Tracker'!$D$3:$AH$50,MATCH($A565,'Attandance Tracker'!$A$3:$A$50,0),DAY($D565))="A","Absent","Leave")),"")</f>
        <v>Present</v>
      </c>
    </row>
    <row r="566" spans="1:9" x14ac:dyDescent="0.25">
      <c r="A566">
        <v>1019</v>
      </c>
      <c r="B566" t="str">
        <f>_xlfn.IFNA(INDEX('Attandance Tracker'!$B$3:$B$30,MATCH($A566,'Attandance Tracker'!$A$3:$A$30,0)),"")</f>
        <v xml:space="preserve"> Suresh</v>
      </c>
      <c r="C566" s="14" t="str">
        <f>_xlfn.IFNA(INDEX('Attandance Tracker'!$C$3:$C$30,MATCH($A566,'Attandance Tracker'!$A$3:$A$30,0)),"")</f>
        <v>Operations</v>
      </c>
      <c r="D566" s="14">
        <v>5</v>
      </c>
      <c r="E566" s="7">
        <v>0.33333333333333331</v>
      </c>
      <c r="F566" s="7">
        <v>0.83333333333333337</v>
      </c>
      <c r="G566" s="7">
        <f t="shared" si="25"/>
        <v>0.33333333333333331</v>
      </c>
      <c r="H566" s="7">
        <f t="shared" si="26"/>
        <v>0.16666666666666669</v>
      </c>
      <c r="I566" t="str">
        <f>IFERROR(IF(INDEX('Attandance Tracker'!$D$3:$AH$50,MATCH($A566,'Attandance Tracker'!$A$3:$A$50,0),DAY($D566))="P","Present",IF(INDEX('Attandance Tracker'!$D$3:$AH$50,MATCH($A566,'Attandance Tracker'!$A$3:$A$50,0),DAY($D566))="A","Absent","Leave")),"")</f>
        <v>Present</v>
      </c>
    </row>
    <row r="567" spans="1:9" x14ac:dyDescent="0.25">
      <c r="A567">
        <v>1019</v>
      </c>
      <c r="B567" t="str">
        <f>_xlfn.IFNA(INDEX('Attandance Tracker'!$B$3:$B$30,MATCH($A567,'Attandance Tracker'!$A$3:$A$30,0)),"")</f>
        <v xml:space="preserve"> Suresh</v>
      </c>
      <c r="C567" s="14" t="str">
        <f>_xlfn.IFNA(INDEX('Attandance Tracker'!$C$3:$C$30,MATCH($A567,'Attandance Tracker'!$A$3:$A$30,0)),"")</f>
        <v>Operations</v>
      </c>
      <c r="D567" s="14">
        <v>6</v>
      </c>
      <c r="E567" s="7">
        <v>0.33333333333333331</v>
      </c>
      <c r="F567" s="7">
        <v>0.79166666666666663</v>
      </c>
      <c r="G567" s="7">
        <f t="shared" si="25"/>
        <v>0.33333333333333331</v>
      </c>
      <c r="H567" s="7">
        <f t="shared" si="26"/>
        <v>0.125</v>
      </c>
      <c r="I567" t="str">
        <f>IFERROR(IF(INDEX('Attandance Tracker'!$D$3:$AH$50,MATCH($A567,'Attandance Tracker'!$A$3:$A$50,0),DAY($D567))="P","Present",IF(INDEX('Attandance Tracker'!$D$3:$AH$50,MATCH($A567,'Attandance Tracker'!$A$3:$A$50,0),DAY($D567))="A","Absent","Leave")),"")</f>
        <v>Present</v>
      </c>
    </row>
    <row r="568" spans="1:9" x14ac:dyDescent="0.25">
      <c r="A568">
        <v>1019</v>
      </c>
      <c r="B568" t="str">
        <f>_xlfn.IFNA(INDEX('Attandance Tracker'!$B$3:$B$30,MATCH($A568,'Attandance Tracker'!$A$3:$A$30,0)),"")</f>
        <v xml:space="preserve"> Suresh</v>
      </c>
      <c r="C568" s="14" t="str">
        <f>_xlfn.IFNA(INDEX('Attandance Tracker'!$C$3:$C$30,MATCH($A568,'Attandance Tracker'!$A$3:$A$30,0)),"")</f>
        <v>Operations</v>
      </c>
      <c r="D568" s="14">
        <v>7</v>
      </c>
      <c r="E568" s="7">
        <v>0.33333333333333331</v>
      </c>
      <c r="F568" s="7">
        <v>0.83333333333333337</v>
      </c>
      <c r="G568" s="7">
        <f t="shared" si="25"/>
        <v>0.33333333333333331</v>
      </c>
      <c r="H568" s="7">
        <f t="shared" si="26"/>
        <v>0.16666666666666669</v>
      </c>
      <c r="I568" t="str">
        <f>IFERROR(IF(INDEX('Attandance Tracker'!$D$3:$AH$50,MATCH($A568,'Attandance Tracker'!$A$3:$A$50,0),DAY($D568))="P","Present",IF(INDEX('Attandance Tracker'!$D$3:$AH$50,MATCH($A568,'Attandance Tracker'!$A$3:$A$50,0),DAY($D568))="A","Absent","Leave")),"")</f>
        <v>Present</v>
      </c>
    </row>
    <row r="569" spans="1:9" x14ac:dyDescent="0.25">
      <c r="A569">
        <v>1019</v>
      </c>
      <c r="B569" t="str">
        <f>_xlfn.IFNA(INDEX('Attandance Tracker'!$B$3:$B$30,MATCH($A569,'Attandance Tracker'!$A$3:$A$30,0)),"")</f>
        <v xml:space="preserve"> Suresh</v>
      </c>
      <c r="C569" s="14" t="str">
        <f>_xlfn.IFNA(INDEX('Attandance Tracker'!$C$3:$C$30,MATCH($A569,'Attandance Tracker'!$A$3:$A$30,0)),"")</f>
        <v>Operations</v>
      </c>
      <c r="D569" s="14">
        <v>8</v>
      </c>
      <c r="E569" s="7">
        <v>0.33333333333333331</v>
      </c>
      <c r="F569" s="7">
        <v>0.75</v>
      </c>
      <c r="G569" s="7">
        <f t="shared" si="25"/>
        <v>0.33333333333333331</v>
      </c>
      <c r="H569" s="7">
        <f t="shared" si="26"/>
        <v>8.333333333333337E-2</v>
      </c>
      <c r="I569" t="str">
        <f>IFERROR(IF(INDEX('Attandance Tracker'!$D$3:$AH$50,MATCH($A569,'Attandance Tracker'!$A$3:$A$50,0),DAY($D569))="P","Present",IF(INDEX('Attandance Tracker'!$D$3:$AH$50,MATCH($A569,'Attandance Tracker'!$A$3:$A$50,0),DAY($D569))="A","Absent","Leave")),"")</f>
        <v>Present</v>
      </c>
    </row>
    <row r="570" spans="1:9" x14ac:dyDescent="0.25">
      <c r="A570">
        <v>1019</v>
      </c>
      <c r="B570" t="str">
        <f>_xlfn.IFNA(INDEX('Attandance Tracker'!$B$3:$B$30,MATCH($A570,'Attandance Tracker'!$A$3:$A$30,0)),"")</f>
        <v xml:space="preserve"> Suresh</v>
      </c>
      <c r="C570" s="14" t="str">
        <f>_xlfn.IFNA(INDEX('Attandance Tracker'!$C$3:$C$30,MATCH($A570,'Attandance Tracker'!$A$3:$A$30,0)),"")</f>
        <v>Operations</v>
      </c>
      <c r="D570" s="14">
        <v>9</v>
      </c>
      <c r="E570" s="7">
        <v>0.33333333333333331</v>
      </c>
      <c r="F570" s="7">
        <v>0.83333333333333337</v>
      </c>
      <c r="G570" s="7">
        <f t="shared" si="25"/>
        <v>0.33333333333333331</v>
      </c>
      <c r="H570" s="7">
        <f t="shared" si="26"/>
        <v>0.16666666666666669</v>
      </c>
      <c r="I570" t="str">
        <f>IFERROR(IF(INDEX('Attandance Tracker'!$D$3:$AH$50,MATCH($A570,'Attandance Tracker'!$A$3:$A$50,0),DAY($D570))="P","Present",IF(INDEX('Attandance Tracker'!$D$3:$AH$50,MATCH($A570,'Attandance Tracker'!$A$3:$A$50,0),DAY($D570))="A","Absent","Leave")),"")</f>
        <v>Present</v>
      </c>
    </row>
    <row r="571" spans="1:9" x14ac:dyDescent="0.25">
      <c r="A571">
        <v>1019</v>
      </c>
      <c r="B571" t="str">
        <f>_xlfn.IFNA(INDEX('Attandance Tracker'!$B$3:$B$30,MATCH($A571,'Attandance Tracker'!$A$3:$A$30,0)),"")</f>
        <v xml:space="preserve"> Suresh</v>
      </c>
      <c r="C571" s="14" t="str">
        <f>_xlfn.IFNA(INDEX('Attandance Tracker'!$C$3:$C$30,MATCH($A571,'Attandance Tracker'!$A$3:$A$30,0)),"")</f>
        <v>Operations</v>
      </c>
      <c r="D571" s="14">
        <v>10</v>
      </c>
      <c r="E571" s="7">
        <v>0.33333333333333331</v>
      </c>
      <c r="F571" s="7">
        <v>0.83333333333333337</v>
      </c>
      <c r="G571" s="7">
        <f t="shared" si="25"/>
        <v>0.33333333333333331</v>
      </c>
      <c r="H571" s="7">
        <f t="shared" si="26"/>
        <v>0.16666666666666669</v>
      </c>
      <c r="I571" t="str">
        <f>IFERROR(IF(INDEX('Attandance Tracker'!$D$3:$AH$50,MATCH($A571,'Attandance Tracker'!$A$3:$A$50,0),DAY($D571))="P","Present",IF(INDEX('Attandance Tracker'!$D$3:$AH$50,MATCH($A571,'Attandance Tracker'!$A$3:$A$50,0),DAY($D571))="A","Absent","Leave")),"")</f>
        <v>Present</v>
      </c>
    </row>
    <row r="572" spans="1:9" x14ac:dyDescent="0.25">
      <c r="A572">
        <v>1019</v>
      </c>
      <c r="B572" t="str">
        <f>_xlfn.IFNA(INDEX('Attandance Tracker'!$B$3:$B$30,MATCH($A572,'Attandance Tracker'!$A$3:$A$30,0)),"")</f>
        <v xml:space="preserve"> Suresh</v>
      </c>
      <c r="C572" s="14" t="str">
        <f>_xlfn.IFNA(INDEX('Attandance Tracker'!$C$3:$C$30,MATCH($A572,'Attandance Tracker'!$A$3:$A$30,0)),"")</f>
        <v>Operations</v>
      </c>
      <c r="D572" s="14">
        <v>11</v>
      </c>
      <c r="E572" s="7">
        <v>0.375</v>
      </c>
      <c r="F572" s="7">
        <v>0.79166666666666663</v>
      </c>
      <c r="G572" s="7">
        <f t="shared" si="25"/>
        <v>0.33333333333333331</v>
      </c>
      <c r="H572" s="7">
        <f t="shared" si="26"/>
        <v>8.3333333333333315E-2</v>
      </c>
      <c r="I572" t="str">
        <f>IFERROR(IF(INDEX('Attandance Tracker'!$D$3:$AH$50,MATCH($A572,'Attandance Tracker'!$A$3:$A$50,0),DAY($D572))="P","Present",IF(INDEX('Attandance Tracker'!$D$3:$AH$50,MATCH($A572,'Attandance Tracker'!$A$3:$A$50,0),DAY($D572))="A","Absent","Leave")),"")</f>
        <v>Present</v>
      </c>
    </row>
    <row r="573" spans="1:9" x14ac:dyDescent="0.25">
      <c r="A573">
        <v>1019</v>
      </c>
      <c r="B573" t="str">
        <f>_xlfn.IFNA(INDEX('Attandance Tracker'!$B$3:$B$30,MATCH($A573,'Attandance Tracker'!$A$3:$A$30,0)),"")</f>
        <v xml:space="preserve"> Suresh</v>
      </c>
      <c r="C573" s="14" t="str">
        <f>_xlfn.IFNA(INDEX('Attandance Tracker'!$C$3:$C$30,MATCH($A573,'Attandance Tracker'!$A$3:$A$30,0)),"")</f>
        <v>Operations</v>
      </c>
      <c r="D573" s="14">
        <v>12</v>
      </c>
      <c r="E573" s="7">
        <v>0.375</v>
      </c>
      <c r="F573" s="7">
        <v>0.83333333333333337</v>
      </c>
      <c r="G573" s="7">
        <f t="shared" si="25"/>
        <v>0.33333333333333331</v>
      </c>
      <c r="H573" s="7">
        <f t="shared" si="26"/>
        <v>0.12500000000000006</v>
      </c>
      <c r="I573" t="str">
        <f>IFERROR(IF(INDEX('Attandance Tracker'!$D$3:$AH$50,MATCH($A573,'Attandance Tracker'!$A$3:$A$50,0),DAY($D573))="P","Present",IF(INDEX('Attandance Tracker'!$D$3:$AH$50,MATCH($A573,'Attandance Tracker'!$A$3:$A$50,0),DAY($D573))="A","Absent","Leave")),"")</f>
        <v>Present</v>
      </c>
    </row>
    <row r="574" spans="1:9" x14ac:dyDescent="0.25">
      <c r="A574">
        <v>1019</v>
      </c>
      <c r="B574" t="str">
        <f>_xlfn.IFNA(INDEX('Attandance Tracker'!$B$3:$B$30,MATCH($A574,'Attandance Tracker'!$A$3:$A$30,0)),"")</f>
        <v xml:space="preserve"> Suresh</v>
      </c>
      <c r="C574" s="14" t="str">
        <f>_xlfn.IFNA(INDEX('Attandance Tracker'!$C$3:$C$30,MATCH($A574,'Attandance Tracker'!$A$3:$A$30,0)),"")</f>
        <v>Operations</v>
      </c>
      <c r="D574" s="14">
        <v>13</v>
      </c>
      <c r="E574" s="7">
        <v>0.375</v>
      </c>
      <c r="F574" s="7">
        <v>0.75</v>
      </c>
      <c r="G574" s="7">
        <f t="shared" si="25"/>
        <v>0.33333333333333331</v>
      </c>
      <c r="H574" s="7">
        <f t="shared" si="26"/>
        <v>4.1666666666666685E-2</v>
      </c>
      <c r="I574" t="str">
        <f>IFERROR(IF(INDEX('Attandance Tracker'!$D$3:$AH$50,MATCH($A574,'Attandance Tracker'!$A$3:$A$50,0),DAY($D574))="P","Present",IF(INDEX('Attandance Tracker'!$D$3:$AH$50,MATCH($A574,'Attandance Tracker'!$A$3:$A$50,0),DAY($D574))="A","Absent","Leave")),"")</f>
        <v>Present</v>
      </c>
    </row>
    <row r="575" spans="1:9" x14ac:dyDescent="0.25">
      <c r="A575">
        <v>1019</v>
      </c>
      <c r="B575" t="str">
        <f>_xlfn.IFNA(INDEX('Attandance Tracker'!$B$3:$B$30,MATCH($A575,'Attandance Tracker'!$A$3:$A$30,0)),"")</f>
        <v xml:space="preserve"> Suresh</v>
      </c>
      <c r="C575" s="14" t="str">
        <f>_xlfn.IFNA(INDEX('Attandance Tracker'!$C$3:$C$30,MATCH($A575,'Attandance Tracker'!$A$3:$A$30,0)),"")</f>
        <v>Operations</v>
      </c>
      <c r="D575" s="14">
        <v>14</v>
      </c>
      <c r="E575" s="7">
        <v>0.375</v>
      </c>
      <c r="F575" s="7">
        <v>0.79166666666666663</v>
      </c>
      <c r="G575" s="7">
        <f t="shared" si="25"/>
        <v>0.33333333333333331</v>
      </c>
      <c r="H575" s="7">
        <f t="shared" si="26"/>
        <v>8.3333333333333315E-2</v>
      </c>
      <c r="I575" t="str">
        <f>IFERROR(IF(INDEX('Attandance Tracker'!$D$3:$AH$50,MATCH($A575,'Attandance Tracker'!$A$3:$A$50,0),DAY($D575))="P","Present",IF(INDEX('Attandance Tracker'!$D$3:$AH$50,MATCH($A575,'Attandance Tracker'!$A$3:$A$50,0),DAY($D575))="A","Absent","Leave")),"")</f>
        <v>Present</v>
      </c>
    </row>
    <row r="576" spans="1:9" x14ac:dyDescent="0.25">
      <c r="A576">
        <v>1019</v>
      </c>
      <c r="B576" t="str">
        <f>_xlfn.IFNA(INDEX('Attandance Tracker'!$B$3:$B$30,MATCH($A576,'Attandance Tracker'!$A$3:$A$30,0)),"")</f>
        <v xml:space="preserve"> Suresh</v>
      </c>
      <c r="C576" s="14" t="str">
        <f>_xlfn.IFNA(INDEX('Attandance Tracker'!$C$3:$C$30,MATCH($A576,'Attandance Tracker'!$A$3:$A$30,0)),"")</f>
        <v>Operations</v>
      </c>
      <c r="D576" s="14">
        <v>15</v>
      </c>
      <c r="E576" s="7">
        <v>0.33333333333333331</v>
      </c>
      <c r="F576" s="7">
        <v>0.83333333333333337</v>
      </c>
      <c r="G576" s="7">
        <f t="shared" si="25"/>
        <v>0.33333333333333331</v>
      </c>
      <c r="H576" s="7">
        <f t="shared" si="26"/>
        <v>0.16666666666666669</v>
      </c>
      <c r="I576" t="str">
        <f>IFERROR(IF(INDEX('Attandance Tracker'!$D$3:$AH$50,MATCH($A576,'Attandance Tracker'!$A$3:$A$50,0),DAY($D576))="P","Present",IF(INDEX('Attandance Tracker'!$D$3:$AH$50,MATCH($A576,'Attandance Tracker'!$A$3:$A$50,0),DAY($D576))="A","Absent","Leave")),"")</f>
        <v>Present</v>
      </c>
    </row>
    <row r="577" spans="1:9" x14ac:dyDescent="0.25">
      <c r="A577">
        <v>1019</v>
      </c>
      <c r="B577" t="str">
        <f>_xlfn.IFNA(INDEX('Attandance Tracker'!$B$3:$B$30,MATCH($A577,'Attandance Tracker'!$A$3:$A$30,0)),"")</f>
        <v xml:space="preserve"> Suresh</v>
      </c>
      <c r="C577" s="14" t="str">
        <f>_xlfn.IFNA(INDEX('Attandance Tracker'!$C$3:$C$30,MATCH($A577,'Attandance Tracker'!$A$3:$A$30,0)),"")</f>
        <v>Operations</v>
      </c>
      <c r="D577" s="14">
        <v>16</v>
      </c>
      <c r="E577" s="7">
        <v>0.33333333333333331</v>
      </c>
      <c r="F577" s="7">
        <v>0.75</v>
      </c>
      <c r="G577" s="7">
        <f t="shared" si="25"/>
        <v>0.33333333333333331</v>
      </c>
      <c r="H577" s="7">
        <f t="shared" si="26"/>
        <v>8.333333333333337E-2</v>
      </c>
      <c r="I577" t="str">
        <f>IFERROR(IF(INDEX('Attandance Tracker'!$D$3:$AH$50,MATCH($A577,'Attandance Tracker'!$A$3:$A$50,0),DAY($D577))="P","Present",IF(INDEX('Attandance Tracker'!$D$3:$AH$50,MATCH($A577,'Attandance Tracker'!$A$3:$A$50,0),DAY($D577))="A","Absent","Leave")),"")</f>
        <v>Present</v>
      </c>
    </row>
    <row r="578" spans="1:9" x14ac:dyDescent="0.25">
      <c r="A578">
        <v>1019</v>
      </c>
      <c r="B578" t="str">
        <f>_xlfn.IFNA(INDEX('Attandance Tracker'!$B$3:$B$30,MATCH($A578,'Attandance Tracker'!$A$3:$A$30,0)),"")</f>
        <v xml:space="preserve"> Suresh</v>
      </c>
      <c r="C578" s="14" t="str">
        <f>_xlfn.IFNA(INDEX('Attandance Tracker'!$C$3:$C$30,MATCH($A578,'Attandance Tracker'!$A$3:$A$30,0)),"")</f>
        <v>Operations</v>
      </c>
      <c r="D578" s="14">
        <v>17</v>
      </c>
      <c r="E578" s="7">
        <v>0.33333333333333331</v>
      </c>
      <c r="F578" s="7">
        <v>0.83333333333333337</v>
      </c>
      <c r="G578" s="7">
        <f t="shared" si="25"/>
        <v>0.33333333333333331</v>
      </c>
      <c r="H578" s="7">
        <f t="shared" si="26"/>
        <v>0.16666666666666669</v>
      </c>
      <c r="I578" t="str">
        <f>IFERROR(IF(INDEX('Attandance Tracker'!$D$3:$AH$50,MATCH($A578,'Attandance Tracker'!$A$3:$A$50,0),DAY($D578))="P","Present",IF(INDEX('Attandance Tracker'!$D$3:$AH$50,MATCH($A578,'Attandance Tracker'!$A$3:$A$50,0),DAY($D578))="A","Absent","Leave")),"")</f>
        <v>Present</v>
      </c>
    </row>
    <row r="579" spans="1:9" x14ac:dyDescent="0.25">
      <c r="A579">
        <v>1019</v>
      </c>
      <c r="B579" t="str">
        <f>_xlfn.IFNA(INDEX('Attandance Tracker'!$B$3:$B$30,MATCH($A579,'Attandance Tracker'!$A$3:$A$30,0)),"")</f>
        <v xml:space="preserve"> Suresh</v>
      </c>
      <c r="C579" s="14" t="str">
        <f>_xlfn.IFNA(INDEX('Attandance Tracker'!$C$3:$C$30,MATCH($A579,'Attandance Tracker'!$A$3:$A$30,0)),"")</f>
        <v>Operations</v>
      </c>
      <c r="D579" s="14">
        <v>18</v>
      </c>
      <c r="E579" s="7">
        <v>0.33333333333333331</v>
      </c>
      <c r="F579" s="7">
        <v>0.83333333333333337</v>
      </c>
      <c r="G579" s="7">
        <f t="shared" si="25"/>
        <v>0.33333333333333331</v>
      </c>
      <c r="H579" s="7">
        <f t="shared" si="26"/>
        <v>0.16666666666666669</v>
      </c>
      <c r="I579" t="str">
        <f>IFERROR(IF(INDEX('Attandance Tracker'!$D$3:$AH$50,MATCH($A579,'Attandance Tracker'!$A$3:$A$50,0),DAY($D579))="P","Present",IF(INDEX('Attandance Tracker'!$D$3:$AH$50,MATCH($A579,'Attandance Tracker'!$A$3:$A$50,0),DAY($D579))="A","Absent","Leave")),"")</f>
        <v>Present</v>
      </c>
    </row>
    <row r="580" spans="1:9" x14ac:dyDescent="0.25">
      <c r="A580">
        <v>1019</v>
      </c>
      <c r="B580" t="str">
        <f>_xlfn.IFNA(INDEX('Attandance Tracker'!$B$3:$B$30,MATCH($A580,'Attandance Tracker'!$A$3:$A$30,0)),"")</f>
        <v xml:space="preserve"> Suresh</v>
      </c>
      <c r="C580" s="14" t="str">
        <f>_xlfn.IFNA(INDEX('Attandance Tracker'!$C$3:$C$30,MATCH($A580,'Attandance Tracker'!$A$3:$A$30,0)),"")</f>
        <v>Operations</v>
      </c>
      <c r="D580" s="14">
        <v>19</v>
      </c>
      <c r="E580" s="7">
        <v>0.33333333333333331</v>
      </c>
      <c r="F580" s="7">
        <v>0.79166666666666663</v>
      </c>
      <c r="G580" s="7">
        <f t="shared" si="25"/>
        <v>0.33333333333333331</v>
      </c>
      <c r="H580" s="7">
        <f t="shared" si="26"/>
        <v>0.125</v>
      </c>
      <c r="I580" t="str">
        <f>IFERROR(IF(INDEX('Attandance Tracker'!$D$3:$AH$50,MATCH($A580,'Attandance Tracker'!$A$3:$A$50,0),DAY($D580))="P","Present",IF(INDEX('Attandance Tracker'!$D$3:$AH$50,MATCH($A580,'Attandance Tracker'!$A$3:$A$50,0),DAY($D580))="A","Absent","Leave")),"")</f>
        <v>Present</v>
      </c>
    </row>
    <row r="581" spans="1:9" x14ac:dyDescent="0.25">
      <c r="A581">
        <v>1019</v>
      </c>
      <c r="B581" t="str">
        <f>_xlfn.IFNA(INDEX('Attandance Tracker'!$B$3:$B$30,MATCH($A581,'Attandance Tracker'!$A$3:$A$30,0)),"")</f>
        <v xml:space="preserve"> Suresh</v>
      </c>
      <c r="C581" s="14" t="str">
        <f>_xlfn.IFNA(INDEX('Attandance Tracker'!$C$3:$C$30,MATCH($A581,'Attandance Tracker'!$A$3:$A$30,0)),"")</f>
        <v>Operations</v>
      </c>
      <c r="D581" s="14">
        <v>20</v>
      </c>
      <c r="E581" s="7">
        <v>0.33333333333333331</v>
      </c>
      <c r="F581" s="7">
        <v>0.83333333333333337</v>
      </c>
      <c r="G581" s="7">
        <f t="shared" ref="G581:G644" si="27">IF(I581="Present",MIN(F581-E581,8/24),IF(I581="Absent",8/24,0))</f>
        <v>0.33333333333333331</v>
      </c>
      <c r="H581" s="7">
        <f t="shared" ref="H581:H644" si="28">IF(I581="Present",MAX(0,F581-E581-8/24),0)</f>
        <v>0.16666666666666669</v>
      </c>
      <c r="I581" t="str">
        <f>IFERROR(IF(INDEX('Attandance Tracker'!$D$3:$AH$50,MATCH($A581,'Attandance Tracker'!$A$3:$A$50,0),DAY($D581))="P","Present",IF(INDEX('Attandance Tracker'!$D$3:$AH$50,MATCH($A581,'Attandance Tracker'!$A$3:$A$50,0),DAY($D581))="A","Absent","Leave")),"")</f>
        <v>Present</v>
      </c>
    </row>
    <row r="582" spans="1:9" x14ac:dyDescent="0.25">
      <c r="A582">
        <v>1019</v>
      </c>
      <c r="B582" t="str">
        <f>_xlfn.IFNA(INDEX('Attandance Tracker'!$B$3:$B$30,MATCH($A582,'Attandance Tracker'!$A$3:$A$30,0)),"")</f>
        <v xml:space="preserve"> Suresh</v>
      </c>
      <c r="C582" s="14" t="str">
        <f>_xlfn.IFNA(INDEX('Attandance Tracker'!$C$3:$C$30,MATCH($A582,'Attandance Tracker'!$A$3:$A$30,0)),"")</f>
        <v>Operations</v>
      </c>
      <c r="D582" s="14">
        <v>21</v>
      </c>
      <c r="E582" s="7">
        <v>0.33333333333333331</v>
      </c>
      <c r="F582" s="7">
        <v>0.75</v>
      </c>
      <c r="G582" s="7">
        <f t="shared" si="27"/>
        <v>0.33333333333333331</v>
      </c>
      <c r="H582" s="7">
        <f t="shared" si="28"/>
        <v>8.333333333333337E-2</v>
      </c>
      <c r="I582" t="str">
        <f>IFERROR(IF(INDEX('Attandance Tracker'!$D$3:$AH$50,MATCH($A582,'Attandance Tracker'!$A$3:$A$50,0),DAY($D582))="P","Present",IF(INDEX('Attandance Tracker'!$D$3:$AH$50,MATCH($A582,'Attandance Tracker'!$A$3:$A$50,0),DAY($D582))="A","Absent","Leave")),"")</f>
        <v>Present</v>
      </c>
    </row>
    <row r="583" spans="1:9" x14ac:dyDescent="0.25">
      <c r="A583">
        <v>1019</v>
      </c>
      <c r="B583" t="str">
        <f>_xlfn.IFNA(INDEX('Attandance Tracker'!$B$3:$B$30,MATCH($A583,'Attandance Tracker'!$A$3:$A$30,0)),"")</f>
        <v xml:space="preserve"> Suresh</v>
      </c>
      <c r="C583" s="14" t="str">
        <f>_xlfn.IFNA(INDEX('Attandance Tracker'!$C$3:$C$30,MATCH($A583,'Attandance Tracker'!$A$3:$A$30,0)),"")</f>
        <v>Operations</v>
      </c>
      <c r="D583" s="14">
        <v>22</v>
      </c>
      <c r="E583" s="7">
        <v>0.375</v>
      </c>
      <c r="F583" s="7">
        <v>0.83333333333333337</v>
      </c>
      <c r="G583" s="7">
        <f t="shared" si="27"/>
        <v>0.33333333333333331</v>
      </c>
      <c r="H583" s="7">
        <f t="shared" si="28"/>
        <v>0.12500000000000006</v>
      </c>
      <c r="I583" t="str">
        <f>IFERROR(IF(INDEX('Attandance Tracker'!$D$3:$AH$50,MATCH($A583,'Attandance Tracker'!$A$3:$A$50,0),DAY($D583))="P","Present",IF(INDEX('Attandance Tracker'!$D$3:$AH$50,MATCH($A583,'Attandance Tracker'!$A$3:$A$50,0),DAY($D583))="A","Absent","Leave")),"")</f>
        <v>Present</v>
      </c>
    </row>
    <row r="584" spans="1:9" x14ac:dyDescent="0.25">
      <c r="A584">
        <v>1019</v>
      </c>
      <c r="B584" t="str">
        <f>_xlfn.IFNA(INDEX('Attandance Tracker'!$B$3:$B$30,MATCH($A584,'Attandance Tracker'!$A$3:$A$30,0)),"")</f>
        <v xml:space="preserve"> Suresh</v>
      </c>
      <c r="C584" s="14" t="str">
        <f>_xlfn.IFNA(INDEX('Attandance Tracker'!$C$3:$C$30,MATCH($A584,'Attandance Tracker'!$A$3:$A$30,0)),"")</f>
        <v>Operations</v>
      </c>
      <c r="D584" s="14">
        <v>23</v>
      </c>
      <c r="E584" s="7">
        <v>0.375</v>
      </c>
      <c r="F584" s="7">
        <v>0.83333333333333337</v>
      </c>
      <c r="G584" s="7">
        <f t="shared" si="27"/>
        <v>0.33333333333333331</v>
      </c>
      <c r="H584" s="7">
        <f t="shared" si="28"/>
        <v>0.12500000000000006</v>
      </c>
      <c r="I584" t="str">
        <f>IFERROR(IF(INDEX('Attandance Tracker'!$D$3:$AH$50,MATCH($A584,'Attandance Tracker'!$A$3:$A$50,0),DAY($D584))="P","Present",IF(INDEX('Attandance Tracker'!$D$3:$AH$50,MATCH($A584,'Attandance Tracker'!$A$3:$A$50,0),DAY($D584))="A","Absent","Leave")),"")</f>
        <v>Present</v>
      </c>
    </row>
    <row r="585" spans="1:9" x14ac:dyDescent="0.25">
      <c r="A585">
        <v>1019</v>
      </c>
      <c r="B585" t="str">
        <f>_xlfn.IFNA(INDEX('Attandance Tracker'!$B$3:$B$30,MATCH($A585,'Attandance Tracker'!$A$3:$A$30,0)),"")</f>
        <v xml:space="preserve"> Suresh</v>
      </c>
      <c r="C585" s="14" t="str">
        <f>_xlfn.IFNA(INDEX('Attandance Tracker'!$C$3:$C$30,MATCH($A585,'Attandance Tracker'!$A$3:$A$30,0)),"")</f>
        <v>Operations</v>
      </c>
      <c r="D585" s="14">
        <v>24</v>
      </c>
      <c r="E585" s="7">
        <v>0.33333333333333331</v>
      </c>
      <c r="F585" s="7">
        <v>0.79166666666666663</v>
      </c>
      <c r="G585" s="7">
        <f t="shared" si="27"/>
        <v>0.33333333333333331</v>
      </c>
      <c r="H585" s="7">
        <f t="shared" si="28"/>
        <v>0.125</v>
      </c>
      <c r="I585" t="str">
        <f>IFERROR(IF(INDEX('Attandance Tracker'!$D$3:$AH$50,MATCH($A585,'Attandance Tracker'!$A$3:$A$50,0),DAY($D585))="P","Present",IF(INDEX('Attandance Tracker'!$D$3:$AH$50,MATCH($A585,'Attandance Tracker'!$A$3:$A$50,0),DAY($D585))="A","Absent","Leave")),"")</f>
        <v>Present</v>
      </c>
    </row>
    <row r="586" spans="1:9" x14ac:dyDescent="0.25">
      <c r="A586">
        <v>1019</v>
      </c>
      <c r="B586" t="str">
        <f>_xlfn.IFNA(INDEX('Attandance Tracker'!$B$3:$B$30,MATCH($A586,'Attandance Tracker'!$A$3:$A$30,0)),"")</f>
        <v xml:space="preserve"> Suresh</v>
      </c>
      <c r="C586" s="14" t="str">
        <f>_xlfn.IFNA(INDEX('Attandance Tracker'!$C$3:$C$30,MATCH($A586,'Attandance Tracker'!$A$3:$A$30,0)),"")</f>
        <v>Operations</v>
      </c>
      <c r="D586" s="14">
        <v>25</v>
      </c>
      <c r="E586" s="7">
        <v>0.375</v>
      </c>
      <c r="F586" s="7">
        <v>0.83333333333333337</v>
      </c>
      <c r="G586" s="7">
        <f t="shared" si="27"/>
        <v>0.33333333333333331</v>
      </c>
      <c r="H586" s="7">
        <f t="shared" si="28"/>
        <v>0.12500000000000006</v>
      </c>
      <c r="I586" t="str">
        <f>IFERROR(IF(INDEX('Attandance Tracker'!$D$3:$AH$50,MATCH($A586,'Attandance Tracker'!$A$3:$A$50,0),DAY($D586))="P","Present",IF(INDEX('Attandance Tracker'!$D$3:$AH$50,MATCH($A586,'Attandance Tracker'!$A$3:$A$50,0),DAY($D586))="A","Absent","Leave")),"")</f>
        <v>Present</v>
      </c>
    </row>
    <row r="587" spans="1:9" x14ac:dyDescent="0.25">
      <c r="A587">
        <v>1019</v>
      </c>
      <c r="B587" t="str">
        <f>_xlfn.IFNA(INDEX('Attandance Tracker'!$B$3:$B$30,MATCH($A587,'Attandance Tracker'!$A$3:$A$30,0)),"")</f>
        <v xml:space="preserve"> Suresh</v>
      </c>
      <c r="C587" s="14" t="str">
        <f>_xlfn.IFNA(INDEX('Attandance Tracker'!$C$3:$C$30,MATCH($A587,'Attandance Tracker'!$A$3:$A$30,0)),"")</f>
        <v>Operations</v>
      </c>
      <c r="D587" s="14">
        <v>26</v>
      </c>
      <c r="E587" s="7">
        <v>0.375</v>
      </c>
      <c r="F587" s="7">
        <v>0.75</v>
      </c>
      <c r="G587" s="7">
        <f t="shared" si="27"/>
        <v>0.33333333333333331</v>
      </c>
      <c r="H587" s="7">
        <f t="shared" si="28"/>
        <v>4.1666666666666685E-2</v>
      </c>
      <c r="I587" t="str">
        <f>IFERROR(IF(INDEX('Attandance Tracker'!$D$3:$AH$50,MATCH($A587,'Attandance Tracker'!$A$3:$A$50,0),DAY($D587))="P","Present",IF(INDEX('Attandance Tracker'!$D$3:$AH$50,MATCH($A587,'Attandance Tracker'!$A$3:$A$50,0),DAY($D587))="A","Absent","Leave")),"")</f>
        <v>Present</v>
      </c>
    </row>
    <row r="588" spans="1:9" x14ac:dyDescent="0.25">
      <c r="A588">
        <v>1019</v>
      </c>
      <c r="B588" t="str">
        <f>_xlfn.IFNA(INDEX('Attandance Tracker'!$B$3:$B$30,MATCH($A588,'Attandance Tracker'!$A$3:$A$30,0)),"")</f>
        <v xml:space="preserve"> Suresh</v>
      </c>
      <c r="C588" s="14" t="str">
        <f>_xlfn.IFNA(INDEX('Attandance Tracker'!$C$3:$C$30,MATCH($A588,'Attandance Tracker'!$A$3:$A$30,0)),"")</f>
        <v>Operations</v>
      </c>
      <c r="D588" s="14">
        <v>27</v>
      </c>
      <c r="E588" s="7">
        <v>0.375</v>
      </c>
      <c r="F588" s="7">
        <v>0.83333333333333337</v>
      </c>
      <c r="G588" s="7">
        <f t="shared" si="27"/>
        <v>0.33333333333333331</v>
      </c>
      <c r="H588" s="7">
        <f t="shared" si="28"/>
        <v>0.12500000000000006</v>
      </c>
      <c r="I588" t="str">
        <f>IFERROR(IF(INDEX('Attandance Tracker'!$D$3:$AH$50,MATCH($A588,'Attandance Tracker'!$A$3:$A$50,0),DAY($D588))="P","Present",IF(INDEX('Attandance Tracker'!$D$3:$AH$50,MATCH($A588,'Attandance Tracker'!$A$3:$A$50,0),DAY($D588))="A","Absent","Leave")),"")</f>
        <v>Present</v>
      </c>
    </row>
    <row r="589" spans="1:9" x14ac:dyDescent="0.25">
      <c r="A589">
        <v>1019</v>
      </c>
      <c r="B589" t="str">
        <f>_xlfn.IFNA(INDEX('Attandance Tracker'!$B$3:$B$30,MATCH($A589,'Attandance Tracker'!$A$3:$A$30,0)),"")</f>
        <v xml:space="preserve"> Suresh</v>
      </c>
      <c r="C589" s="14" t="str">
        <f>_xlfn.IFNA(INDEX('Attandance Tracker'!$C$3:$C$30,MATCH($A589,'Attandance Tracker'!$A$3:$A$30,0)),"")</f>
        <v>Operations</v>
      </c>
      <c r="D589" s="14">
        <v>28</v>
      </c>
      <c r="E589" s="7">
        <v>0.33333333333333331</v>
      </c>
      <c r="F589" s="7">
        <v>0.83333333333333337</v>
      </c>
      <c r="G589" s="7">
        <f t="shared" si="27"/>
        <v>0.33333333333333331</v>
      </c>
      <c r="H589" s="7">
        <f t="shared" si="28"/>
        <v>0.16666666666666669</v>
      </c>
      <c r="I589" t="str">
        <f>IFERROR(IF(INDEX('Attandance Tracker'!$D$3:$AH$50,MATCH($A589,'Attandance Tracker'!$A$3:$A$50,0),DAY($D589))="P","Present",IF(INDEX('Attandance Tracker'!$D$3:$AH$50,MATCH($A589,'Attandance Tracker'!$A$3:$A$50,0),DAY($D589))="A","Absent","Leave")),"")</f>
        <v>Present</v>
      </c>
    </row>
    <row r="590" spans="1:9" x14ac:dyDescent="0.25">
      <c r="A590">
        <v>1019</v>
      </c>
      <c r="B590" t="str">
        <f>_xlfn.IFNA(INDEX('Attandance Tracker'!$B$3:$B$30,MATCH($A590,'Attandance Tracker'!$A$3:$A$30,0)),"")</f>
        <v xml:space="preserve"> Suresh</v>
      </c>
      <c r="C590" s="14" t="str">
        <f>_xlfn.IFNA(INDEX('Attandance Tracker'!$C$3:$C$30,MATCH($A590,'Attandance Tracker'!$A$3:$A$30,0)),"")</f>
        <v>Operations</v>
      </c>
      <c r="D590" s="14">
        <v>29</v>
      </c>
      <c r="E590" s="7">
        <v>0.33333333333333331</v>
      </c>
      <c r="F590" s="7">
        <v>0.83333333333333337</v>
      </c>
      <c r="G590" s="7">
        <f t="shared" si="27"/>
        <v>0.33333333333333331</v>
      </c>
      <c r="H590" s="7">
        <f t="shared" si="28"/>
        <v>0.16666666666666669</v>
      </c>
      <c r="I590" t="str">
        <f>IFERROR(IF(INDEX('Attandance Tracker'!$D$3:$AH$50,MATCH($A590,'Attandance Tracker'!$A$3:$A$50,0),DAY($D590))="P","Present",IF(INDEX('Attandance Tracker'!$D$3:$AH$50,MATCH($A590,'Attandance Tracker'!$A$3:$A$50,0),DAY($D590))="A","Absent","Leave")),"")</f>
        <v>Present</v>
      </c>
    </row>
    <row r="591" spans="1:9" x14ac:dyDescent="0.25">
      <c r="A591">
        <v>1019</v>
      </c>
      <c r="B591" t="str">
        <f>_xlfn.IFNA(INDEX('Attandance Tracker'!$B$3:$B$30,MATCH($A591,'Attandance Tracker'!$A$3:$A$30,0)),"")</f>
        <v xml:space="preserve"> Suresh</v>
      </c>
      <c r="C591" s="14" t="str">
        <f>_xlfn.IFNA(INDEX('Attandance Tracker'!$C$3:$C$30,MATCH($A591,'Attandance Tracker'!$A$3:$A$30,0)),"")</f>
        <v>Operations</v>
      </c>
      <c r="D591" s="14">
        <v>30</v>
      </c>
      <c r="E591" s="7">
        <v>0.375</v>
      </c>
      <c r="F591" s="7">
        <v>0.79166666666666663</v>
      </c>
      <c r="G591" s="7">
        <f t="shared" si="27"/>
        <v>0.33333333333333331</v>
      </c>
      <c r="H591" s="7">
        <f t="shared" si="28"/>
        <v>8.3333333333333315E-2</v>
      </c>
      <c r="I591" t="str">
        <f>IFERROR(IF(INDEX('Attandance Tracker'!$D$3:$AH$50,MATCH($A591,'Attandance Tracker'!$A$3:$A$50,0),DAY($D591))="P","Present",IF(INDEX('Attandance Tracker'!$D$3:$AH$50,MATCH($A591,'Attandance Tracker'!$A$3:$A$50,0),DAY($D591))="A","Absent","Leave")),"")</f>
        <v>Present</v>
      </c>
    </row>
    <row r="592" spans="1:9" x14ac:dyDescent="0.25">
      <c r="A592">
        <v>1019</v>
      </c>
      <c r="B592" t="str">
        <f>_xlfn.IFNA(INDEX('Attandance Tracker'!$B$3:$B$30,MATCH($A592,'Attandance Tracker'!$A$3:$A$30,0)),"")</f>
        <v xml:space="preserve"> Suresh</v>
      </c>
      <c r="C592" s="14" t="str">
        <f>_xlfn.IFNA(INDEX('Attandance Tracker'!$C$3:$C$30,MATCH($A592,'Attandance Tracker'!$A$3:$A$30,0)),"")</f>
        <v>Operations</v>
      </c>
      <c r="D592" s="14">
        <v>31</v>
      </c>
      <c r="E592" s="7">
        <v>0.375</v>
      </c>
      <c r="F592" s="7">
        <v>0.83333333333333337</v>
      </c>
      <c r="G592" s="7">
        <f t="shared" si="27"/>
        <v>0.33333333333333331</v>
      </c>
      <c r="H592" s="7">
        <f t="shared" si="28"/>
        <v>0.12500000000000006</v>
      </c>
      <c r="I592" t="str">
        <f>IFERROR(IF(INDEX('Attandance Tracker'!$D$3:$AH$50,MATCH($A592,'Attandance Tracker'!$A$3:$A$50,0),DAY($D592))="P","Present",IF(INDEX('Attandance Tracker'!$D$3:$AH$50,MATCH($A592,'Attandance Tracker'!$A$3:$A$50,0),DAY($D592))="A","Absent","Leave")),"")</f>
        <v>Present</v>
      </c>
    </row>
    <row r="593" spans="1:9" x14ac:dyDescent="0.25">
      <c r="A593">
        <v>1020</v>
      </c>
      <c r="B593" t="str">
        <f>_xlfn.IFNA(INDEX('Attandance Tracker'!$B$3:$B$30,MATCH($A593,'Attandance Tracker'!$A$3:$A$30,0)),"")</f>
        <v xml:space="preserve"> Meena</v>
      </c>
      <c r="C593" s="14" t="str">
        <f>_xlfn.IFNA(INDEX('Attandance Tracker'!$C$3:$C$30,MATCH($A593,'Attandance Tracker'!$A$3:$A$30,0)),"")</f>
        <v>Operations</v>
      </c>
      <c r="D593" s="14">
        <v>1</v>
      </c>
      <c r="E593" s="7">
        <v>0.375</v>
      </c>
      <c r="F593" s="7">
        <v>0.75</v>
      </c>
      <c r="G593" s="7">
        <f t="shared" si="27"/>
        <v>0.33333333333333331</v>
      </c>
      <c r="H593" s="7">
        <f t="shared" si="28"/>
        <v>4.1666666666666685E-2</v>
      </c>
      <c r="I593" t="str">
        <f>IFERROR(IF(INDEX('Attandance Tracker'!$D$3:$AH$50,MATCH($A593,'Attandance Tracker'!$A$3:$A$50,0),DAY($D593))="P","Present",IF(INDEX('Attandance Tracker'!$D$3:$AH$50,MATCH($A593,'Attandance Tracker'!$A$3:$A$50,0),DAY($D593))="A","Absent","Leave")),"")</f>
        <v>Present</v>
      </c>
    </row>
    <row r="594" spans="1:9" x14ac:dyDescent="0.25">
      <c r="A594">
        <v>1020</v>
      </c>
      <c r="B594" t="str">
        <f>_xlfn.IFNA(INDEX('Attandance Tracker'!$B$3:$B$30,MATCH($A594,'Attandance Tracker'!$A$3:$A$30,0)),"")</f>
        <v xml:space="preserve"> Meena</v>
      </c>
      <c r="C594" s="14" t="str">
        <f>_xlfn.IFNA(INDEX('Attandance Tracker'!$C$3:$C$30,MATCH($A594,'Attandance Tracker'!$A$3:$A$30,0)),"")</f>
        <v>Operations</v>
      </c>
      <c r="D594" s="14">
        <v>2</v>
      </c>
      <c r="E594" s="7">
        <v>0.33333333333333331</v>
      </c>
      <c r="F594" s="7">
        <v>0.83333333333333337</v>
      </c>
      <c r="G594" s="7">
        <f t="shared" si="27"/>
        <v>0.33333333333333331</v>
      </c>
      <c r="H594" s="7">
        <f t="shared" si="28"/>
        <v>0.16666666666666669</v>
      </c>
      <c r="I594" t="str">
        <f>IFERROR(IF(INDEX('Attandance Tracker'!$D$3:$AH$50,MATCH($A594,'Attandance Tracker'!$A$3:$A$50,0),DAY($D594))="P","Present",IF(INDEX('Attandance Tracker'!$D$3:$AH$50,MATCH($A594,'Attandance Tracker'!$A$3:$A$50,0),DAY($D594))="A","Absent","Leave")),"")</f>
        <v>Present</v>
      </c>
    </row>
    <row r="595" spans="1:9" x14ac:dyDescent="0.25">
      <c r="A595">
        <v>1020</v>
      </c>
      <c r="B595" t="str">
        <f>_xlfn.IFNA(INDEX('Attandance Tracker'!$B$3:$B$30,MATCH($A595,'Attandance Tracker'!$A$3:$A$30,0)),"")</f>
        <v xml:space="preserve"> Meena</v>
      </c>
      <c r="C595" s="14" t="str">
        <f>_xlfn.IFNA(INDEX('Attandance Tracker'!$C$3:$C$30,MATCH($A595,'Attandance Tracker'!$A$3:$A$30,0)),"")</f>
        <v>Operations</v>
      </c>
      <c r="D595" s="14">
        <v>3</v>
      </c>
      <c r="E595" s="7">
        <v>0.33333333333333331</v>
      </c>
      <c r="F595" s="7">
        <v>0.83333333333333337</v>
      </c>
      <c r="G595" s="7">
        <f t="shared" si="27"/>
        <v>0.33333333333333331</v>
      </c>
      <c r="H595" s="7">
        <f t="shared" si="28"/>
        <v>0.16666666666666669</v>
      </c>
      <c r="I595" t="str">
        <f>IFERROR(IF(INDEX('Attandance Tracker'!$D$3:$AH$50,MATCH($A595,'Attandance Tracker'!$A$3:$A$50,0),DAY($D595))="P","Present",IF(INDEX('Attandance Tracker'!$D$3:$AH$50,MATCH($A595,'Attandance Tracker'!$A$3:$A$50,0),DAY($D595))="A","Absent","Leave")),"")</f>
        <v>Present</v>
      </c>
    </row>
    <row r="596" spans="1:9" x14ac:dyDescent="0.25">
      <c r="A596">
        <v>1020</v>
      </c>
      <c r="B596" t="str">
        <f>_xlfn.IFNA(INDEX('Attandance Tracker'!$B$3:$B$30,MATCH($A596,'Attandance Tracker'!$A$3:$A$30,0)),"")</f>
        <v xml:space="preserve"> Meena</v>
      </c>
      <c r="C596" s="14" t="str">
        <f>_xlfn.IFNA(INDEX('Attandance Tracker'!$C$3:$C$30,MATCH($A596,'Attandance Tracker'!$A$3:$A$30,0)),"")</f>
        <v>Operations</v>
      </c>
      <c r="D596" s="14">
        <v>4</v>
      </c>
      <c r="E596" s="7">
        <v>0.33333333333333331</v>
      </c>
      <c r="F596" s="7">
        <v>0.79166666666666663</v>
      </c>
      <c r="G596" s="7">
        <f t="shared" si="27"/>
        <v>0.33333333333333331</v>
      </c>
      <c r="H596" s="7">
        <f t="shared" si="28"/>
        <v>0.125</v>
      </c>
      <c r="I596" t="str">
        <f>IFERROR(IF(INDEX('Attandance Tracker'!$D$3:$AH$50,MATCH($A596,'Attandance Tracker'!$A$3:$A$50,0),DAY($D596))="P","Present",IF(INDEX('Attandance Tracker'!$D$3:$AH$50,MATCH($A596,'Attandance Tracker'!$A$3:$A$50,0),DAY($D596))="A","Absent","Leave")),"")</f>
        <v>Present</v>
      </c>
    </row>
    <row r="597" spans="1:9" x14ac:dyDescent="0.25">
      <c r="A597">
        <v>1020</v>
      </c>
      <c r="B597" t="str">
        <f>_xlfn.IFNA(INDEX('Attandance Tracker'!$B$3:$B$30,MATCH($A597,'Attandance Tracker'!$A$3:$A$30,0)),"")</f>
        <v xml:space="preserve"> Meena</v>
      </c>
      <c r="C597" s="14" t="str">
        <f>_xlfn.IFNA(INDEX('Attandance Tracker'!$C$3:$C$30,MATCH($A597,'Attandance Tracker'!$A$3:$A$30,0)),"")</f>
        <v>Operations</v>
      </c>
      <c r="D597" s="14">
        <v>5</v>
      </c>
      <c r="E597" s="7">
        <v>0.33333333333333331</v>
      </c>
      <c r="F597" s="7">
        <v>0.83333333333333337</v>
      </c>
      <c r="G597" s="7">
        <f t="shared" si="27"/>
        <v>0.33333333333333331</v>
      </c>
      <c r="H597" s="7">
        <f t="shared" si="28"/>
        <v>0.16666666666666669</v>
      </c>
      <c r="I597" t="str">
        <f>IFERROR(IF(INDEX('Attandance Tracker'!$D$3:$AH$50,MATCH($A597,'Attandance Tracker'!$A$3:$A$50,0),DAY($D597))="P","Present",IF(INDEX('Attandance Tracker'!$D$3:$AH$50,MATCH($A597,'Attandance Tracker'!$A$3:$A$50,0),DAY($D597))="A","Absent","Leave")),"")</f>
        <v>Present</v>
      </c>
    </row>
    <row r="598" spans="1:9" x14ac:dyDescent="0.25">
      <c r="A598">
        <v>1020</v>
      </c>
      <c r="B598" t="str">
        <f>_xlfn.IFNA(INDEX('Attandance Tracker'!$B$3:$B$30,MATCH($A598,'Attandance Tracker'!$A$3:$A$30,0)),"")</f>
        <v xml:space="preserve"> Meena</v>
      </c>
      <c r="C598" s="14" t="str">
        <f>_xlfn.IFNA(INDEX('Attandance Tracker'!$C$3:$C$30,MATCH($A598,'Attandance Tracker'!$A$3:$A$30,0)),"")</f>
        <v>Operations</v>
      </c>
      <c r="D598" s="14">
        <v>6</v>
      </c>
      <c r="E598" s="7">
        <v>0.33333333333333331</v>
      </c>
      <c r="F598" s="7">
        <v>0.75</v>
      </c>
      <c r="G598" s="7">
        <f t="shared" si="27"/>
        <v>0.33333333333333331</v>
      </c>
      <c r="H598" s="7">
        <f t="shared" si="28"/>
        <v>8.333333333333337E-2</v>
      </c>
      <c r="I598" t="str">
        <f>IFERROR(IF(INDEX('Attandance Tracker'!$D$3:$AH$50,MATCH($A598,'Attandance Tracker'!$A$3:$A$50,0),DAY($D598))="P","Present",IF(INDEX('Attandance Tracker'!$D$3:$AH$50,MATCH($A598,'Attandance Tracker'!$A$3:$A$50,0),DAY($D598))="A","Absent","Leave")),"")</f>
        <v>Present</v>
      </c>
    </row>
    <row r="599" spans="1:9" x14ac:dyDescent="0.25">
      <c r="A599">
        <v>1020</v>
      </c>
      <c r="B599" t="str">
        <f>_xlfn.IFNA(INDEX('Attandance Tracker'!$B$3:$B$30,MATCH($A599,'Attandance Tracker'!$A$3:$A$30,0)),"")</f>
        <v xml:space="preserve"> Meena</v>
      </c>
      <c r="C599" s="14" t="str">
        <f>_xlfn.IFNA(INDEX('Attandance Tracker'!$C$3:$C$30,MATCH($A599,'Attandance Tracker'!$A$3:$A$30,0)),"")</f>
        <v>Operations</v>
      </c>
      <c r="D599" s="14">
        <v>7</v>
      </c>
      <c r="E599" s="7">
        <v>0.33333333333333331</v>
      </c>
      <c r="F599" s="7">
        <v>0.79166666666666663</v>
      </c>
      <c r="G599" s="7">
        <f t="shared" si="27"/>
        <v>0.33333333333333331</v>
      </c>
      <c r="H599" s="7">
        <f t="shared" si="28"/>
        <v>0.125</v>
      </c>
      <c r="I599" t="str">
        <f>IFERROR(IF(INDEX('Attandance Tracker'!$D$3:$AH$50,MATCH($A599,'Attandance Tracker'!$A$3:$A$50,0),DAY($D599))="P","Present",IF(INDEX('Attandance Tracker'!$D$3:$AH$50,MATCH($A599,'Attandance Tracker'!$A$3:$A$50,0),DAY($D599))="A","Absent","Leave")),"")</f>
        <v>Present</v>
      </c>
    </row>
    <row r="600" spans="1:9" x14ac:dyDescent="0.25">
      <c r="A600">
        <v>1020</v>
      </c>
      <c r="B600" t="str">
        <f>_xlfn.IFNA(INDEX('Attandance Tracker'!$B$3:$B$30,MATCH($A600,'Attandance Tracker'!$A$3:$A$30,0)),"")</f>
        <v xml:space="preserve"> Meena</v>
      </c>
      <c r="C600" s="14" t="str">
        <f>_xlfn.IFNA(INDEX('Attandance Tracker'!$C$3:$C$30,MATCH($A600,'Attandance Tracker'!$A$3:$A$30,0)),"")</f>
        <v>Operations</v>
      </c>
      <c r="D600" s="14">
        <v>8</v>
      </c>
      <c r="E600" s="7">
        <v>0.33333333333333331</v>
      </c>
      <c r="F600" s="7">
        <v>0.83333333333333337</v>
      </c>
      <c r="G600" s="7">
        <f t="shared" si="27"/>
        <v>0.33333333333333331</v>
      </c>
      <c r="H600" s="7">
        <f t="shared" si="28"/>
        <v>0.16666666666666669</v>
      </c>
      <c r="I600" t="str">
        <f>IFERROR(IF(INDEX('Attandance Tracker'!$D$3:$AH$50,MATCH($A600,'Attandance Tracker'!$A$3:$A$50,0),DAY($D600))="P","Present",IF(INDEX('Attandance Tracker'!$D$3:$AH$50,MATCH($A600,'Attandance Tracker'!$A$3:$A$50,0),DAY($D600))="A","Absent","Leave")),"")</f>
        <v>Present</v>
      </c>
    </row>
    <row r="601" spans="1:9" x14ac:dyDescent="0.25">
      <c r="A601">
        <v>1020</v>
      </c>
      <c r="B601" t="str">
        <f>_xlfn.IFNA(INDEX('Attandance Tracker'!$B$3:$B$30,MATCH($A601,'Attandance Tracker'!$A$3:$A$30,0)),"")</f>
        <v xml:space="preserve"> Meena</v>
      </c>
      <c r="C601" s="14" t="str">
        <f>_xlfn.IFNA(INDEX('Attandance Tracker'!$C$3:$C$30,MATCH($A601,'Attandance Tracker'!$A$3:$A$30,0)),"")</f>
        <v>Operations</v>
      </c>
      <c r="D601" s="14">
        <v>9</v>
      </c>
      <c r="E601" s="7">
        <v>0.375</v>
      </c>
      <c r="F601" s="7">
        <v>0.75</v>
      </c>
      <c r="G601" s="7">
        <f t="shared" si="27"/>
        <v>0.33333333333333331</v>
      </c>
      <c r="H601" s="7">
        <f t="shared" si="28"/>
        <v>4.1666666666666685E-2</v>
      </c>
      <c r="I601" t="str">
        <f>IFERROR(IF(INDEX('Attandance Tracker'!$D$3:$AH$50,MATCH($A601,'Attandance Tracker'!$A$3:$A$50,0),DAY($D601))="P","Present",IF(INDEX('Attandance Tracker'!$D$3:$AH$50,MATCH($A601,'Attandance Tracker'!$A$3:$A$50,0),DAY($D601))="A","Absent","Leave")),"")</f>
        <v>Present</v>
      </c>
    </row>
    <row r="602" spans="1:9" x14ac:dyDescent="0.25">
      <c r="A602">
        <v>1020</v>
      </c>
      <c r="B602" t="str">
        <f>_xlfn.IFNA(INDEX('Attandance Tracker'!$B$3:$B$30,MATCH($A602,'Attandance Tracker'!$A$3:$A$30,0)),"")</f>
        <v xml:space="preserve"> Meena</v>
      </c>
      <c r="C602" s="14" t="str">
        <f>_xlfn.IFNA(INDEX('Attandance Tracker'!$C$3:$C$30,MATCH($A602,'Attandance Tracker'!$A$3:$A$30,0)),"")</f>
        <v>Operations</v>
      </c>
      <c r="D602" s="14">
        <v>10</v>
      </c>
      <c r="E602" s="7">
        <v>0.375</v>
      </c>
      <c r="F602" s="7">
        <v>0.83333333333333337</v>
      </c>
      <c r="G602" s="7">
        <f t="shared" si="27"/>
        <v>0.33333333333333331</v>
      </c>
      <c r="H602" s="7">
        <f t="shared" si="28"/>
        <v>0.12500000000000006</v>
      </c>
      <c r="I602" t="str">
        <f>IFERROR(IF(INDEX('Attandance Tracker'!$D$3:$AH$50,MATCH($A602,'Attandance Tracker'!$A$3:$A$50,0),DAY($D602))="P","Present",IF(INDEX('Attandance Tracker'!$D$3:$AH$50,MATCH($A602,'Attandance Tracker'!$A$3:$A$50,0),DAY($D602))="A","Absent","Leave")),"")</f>
        <v>Present</v>
      </c>
    </row>
    <row r="603" spans="1:9" x14ac:dyDescent="0.25">
      <c r="A603">
        <v>1020</v>
      </c>
      <c r="B603" t="str">
        <f>_xlfn.IFNA(INDEX('Attandance Tracker'!$B$3:$B$30,MATCH($A603,'Attandance Tracker'!$A$3:$A$30,0)),"")</f>
        <v xml:space="preserve"> Meena</v>
      </c>
      <c r="C603" s="14" t="str">
        <f>_xlfn.IFNA(INDEX('Attandance Tracker'!$C$3:$C$30,MATCH($A603,'Attandance Tracker'!$A$3:$A$30,0)),"")</f>
        <v>Operations</v>
      </c>
      <c r="D603" s="14">
        <v>11</v>
      </c>
      <c r="E603" s="7">
        <v>0.375</v>
      </c>
      <c r="F603" s="7">
        <v>0.83333333333333337</v>
      </c>
      <c r="G603" s="7">
        <f t="shared" si="27"/>
        <v>0.33333333333333331</v>
      </c>
      <c r="H603" s="7">
        <f t="shared" si="28"/>
        <v>0.12500000000000006</v>
      </c>
      <c r="I603" t="str">
        <f>IFERROR(IF(INDEX('Attandance Tracker'!$D$3:$AH$50,MATCH($A603,'Attandance Tracker'!$A$3:$A$50,0),DAY($D603))="P","Present",IF(INDEX('Attandance Tracker'!$D$3:$AH$50,MATCH($A603,'Attandance Tracker'!$A$3:$A$50,0),DAY($D603))="A","Absent","Leave")),"")</f>
        <v>Present</v>
      </c>
    </row>
    <row r="604" spans="1:9" x14ac:dyDescent="0.25">
      <c r="A604">
        <v>1020</v>
      </c>
      <c r="B604" t="str">
        <f>_xlfn.IFNA(INDEX('Attandance Tracker'!$B$3:$B$30,MATCH($A604,'Attandance Tracker'!$A$3:$A$30,0)),"")</f>
        <v xml:space="preserve"> Meena</v>
      </c>
      <c r="C604" s="14" t="str">
        <f>_xlfn.IFNA(INDEX('Attandance Tracker'!$C$3:$C$30,MATCH($A604,'Attandance Tracker'!$A$3:$A$30,0)),"")</f>
        <v>Operations</v>
      </c>
      <c r="D604" s="14">
        <v>12</v>
      </c>
      <c r="E604" s="7">
        <v>0.33333333333333331</v>
      </c>
      <c r="F604" s="7">
        <v>0.79166666666666663</v>
      </c>
      <c r="G604" s="7">
        <f t="shared" si="27"/>
        <v>0.33333333333333331</v>
      </c>
      <c r="H604" s="7">
        <f t="shared" si="28"/>
        <v>0.125</v>
      </c>
      <c r="I604" t="str">
        <f>IFERROR(IF(INDEX('Attandance Tracker'!$D$3:$AH$50,MATCH($A604,'Attandance Tracker'!$A$3:$A$50,0),DAY($D604))="P","Present",IF(INDEX('Attandance Tracker'!$D$3:$AH$50,MATCH($A604,'Attandance Tracker'!$A$3:$A$50,0),DAY($D604))="A","Absent","Leave")),"")</f>
        <v>Present</v>
      </c>
    </row>
    <row r="605" spans="1:9" x14ac:dyDescent="0.25">
      <c r="A605">
        <v>1020</v>
      </c>
      <c r="B605" t="str">
        <f>_xlfn.IFNA(INDEX('Attandance Tracker'!$B$3:$B$30,MATCH($A605,'Attandance Tracker'!$A$3:$A$30,0)),"")</f>
        <v xml:space="preserve"> Meena</v>
      </c>
      <c r="C605" s="14" t="str">
        <f>_xlfn.IFNA(INDEX('Attandance Tracker'!$C$3:$C$30,MATCH($A605,'Attandance Tracker'!$A$3:$A$30,0)),"")</f>
        <v>Operations</v>
      </c>
      <c r="D605" s="14">
        <v>13</v>
      </c>
      <c r="E605" s="7">
        <v>0.33333333333333331</v>
      </c>
      <c r="F605" s="7">
        <v>0.83333333333333337</v>
      </c>
      <c r="G605" s="7">
        <f t="shared" si="27"/>
        <v>0.33333333333333331</v>
      </c>
      <c r="H605" s="7">
        <f t="shared" si="28"/>
        <v>0.16666666666666669</v>
      </c>
      <c r="I605" t="str">
        <f>IFERROR(IF(INDEX('Attandance Tracker'!$D$3:$AH$50,MATCH($A605,'Attandance Tracker'!$A$3:$A$50,0),DAY($D605))="P","Present",IF(INDEX('Attandance Tracker'!$D$3:$AH$50,MATCH($A605,'Attandance Tracker'!$A$3:$A$50,0),DAY($D605))="A","Absent","Leave")),"")</f>
        <v>Present</v>
      </c>
    </row>
    <row r="606" spans="1:9" x14ac:dyDescent="0.25">
      <c r="A606">
        <v>1020</v>
      </c>
      <c r="B606" t="str">
        <f>_xlfn.IFNA(INDEX('Attandance Tracker'!$B$3:$B$30,MATCH($A606,'Attandance Tracker'!$A$3:$A$30,0)),"")</f>
        <v xml:space="preserve"> Meena</v>
      </c>
      <c r="C606" s="14" t="str">
        <f>_xlfn.IFNA(INDEX('Attandance Tracker'!$C$3:$C$30,MATCH($A606,'Attandance Tracker'!$A$3:$A$30,0)),"")</f>
        <v>Operations</v>
      </c>
      <c r="D606" s="14">
        <v>14</v>
      </c>
      <c r="E606" s="7">
        <v>0.375</v>
      </c>
      <c r="F606" s="7">
        <v>0.75</v>
      </c>
      <c r="G606" s="7">
        <f t="shared" si="27"/>
        <v>0.33333333333333331</v>
      </c>
      <c r="H606" s="7">
        <f t="shared" si="28"/>
        <v>4.1666666666666685E-2</v>
      </c>
      <c r="I606" t="str">
        <f>IFERROR(IF(INDEX('Attandance Tracker'!$D$3:$AH$50,MATCH($A606,'Attandance Tracker'!$A$3:$A$50,0),DAY($D606))="P","Present",IF(INDEX('Attandance Tracker'!$D$3:$AH$50,MATCH($A606,'Attandance Tracker'!$A$3:$A$50,0),DAY($D606))="A","Absent","Leave")),"")</f>
        <v>Present</v>
      </c>
    </row>
    <row r="607" spans="1:9" x14ac:dyDescent="0.25">
      <c r="A607">
        <v>1020</v>
      </c>
      <c r="B607" t="str">
        <f>_xlfn.IFNA(INDEX('Attandance Tracker'!$B$3:$B$30,MATCH($A607,'Attandance Tracker'!$A$3:$A$30,0)),"")</f>
        <v xml:space="preserve"> Meena</v>
      </c>
      <c r="C607" s="14" t="str">
        <f>_xlfn.IFNA(INDEX('Attandance Tracker'!$C$3:$C$30,MATCH($A607,'Attandance Tracker'!$A$3:$A$30,0)),"")</f>
        <v>Operations</v>
      </c>
      <c r="D607" s="14">
        <v>15</v>
      </c>
      <c r="E607" s="7">
        <v>0.375</v>
      </c>
      <c r="F607" s="7">
        <v>0.83333333333333337</v>
      </c>
      <c r="G607" s="7">
        <f t="shared" si="27"/>
        <v>0.33333333333333331</v>
      </c>
      <c r="H607" s="7">
        <f t="shared" si="28"/>
        <v>0.12500000000000006</v>
      </c>
      <c r="I607" t="str">
        <f>IFERROR(IF(INDEX('Attandance Tracker'!$D$3:$AH$50,MATCH($A607,'Attandance Tracker'!$A$3:$A$50,0),DAY($D607))="P","Present",IF(INDEX('Attandance Tracker'!$D$3:$AH$50,MATCH($A607,'Attandance Tracker'!$A$3:$A$50,0),DAY($D607))="A","Absent","Leave")),"")</f>
        <v>Present</v>
      </c>
    </row>
    <row r="608" spans="1:9" x14ac:dyDescent="0.25">
      <c r="A608">
        <v>1020</v>
      </c>
      <c r="B608" t="str">
        <f>_xlfn.IFNA(INDEX('Attandance Tracker'!$B$3:$B$30,MATCH($A608,'Attandance Tracker'!$A$3:$A$30,0)),"")</f>
        <v xml:space="preserve"> Meena</v>
      </c>
      <c r="C608" s="14" t="str">
        <f>_xlfn.IFNA(INDEX('Attandance Tracker'!$C$3:$C$30,MATCH($A608,'Attandance Tracker'!$A$3:$A$30,0)),"")</f>
        <v>Operations</v>
      </c>
      <c r="D608" s="14">
        <v>16</v>
      </c>
      <c r="E608" s="7">
        <v>0.375</v>
      </c>
      <c r="F608" s="7">
        <v>0.83333333333333337</v>
      </c>
      <c r="G608" s="7">
        <f t="shared" si="27"/>
        <v>0.33333333333333331</v>
      </c>
      <c r="H608" s="7">
        <f t="shared" si="28"/>
        <v>0.12500000000000006</v>
      </c>
      <c r="I608" t="str">
        <f>IFERROR(IF(INDEX('Attandance Tracker'!$D$3:$AH$50,MATCH($A608,'Attandance Tracker'!$A$3:$A$50,0),DAY($D608))="P","Present",IF(INDEX('Attandance Tracker'!$D$3:$AH$50,MATCH($A608,'Attandance Tracker'!$A$3:$A$50,0),DAY($D608))="A","Absent","Leave")),"")</f>
        <v>Present</v>
      </c>
    </row>
    <row r="609" spans="1:9" x14ac:dyDescent="0.25">
      <c r="A609">
        <v>1020</v>
      </c>
      <c r="B609" t="str">
        <f>_xlfn.IFNA(INDEX('Attandance Tracker'!$B$3:$B$30,MATCH($A609,'Attandance Tracker'!$A$3:$A$30,0)),"")</f>
        <v xml:space="preserve"> Meena</v>
      </c>
      <c r="C609" s="14" t="str">
        <f>_xlfn.IFNA(INDEX('Attandance Tracker'!$C$3:$C$30,MATCH($A609,'Attandance Tracker'!$A$3:$A$30,0)),"")</f>
        <v>Operations</v>
      </c>
      <c r="D609" s="14">
        <v>17</v>
      </c>
      <c r="E609" s="7">
        <v>0.33333333333333331</v>
      </c>
      <c r="F609" s="7">
        <v>0.79166666666666663</v>
      </c>
      <c r="G609" s="7">
        <f t="shared" si="27"/>
        <v>0.33333333333333331</v>
      </c>
      <c r="H609" s="7">
        <f t="shared" si="28"/>
        <v>0.125</v>
      </c>
      <c r="I609" t="str">
        <f>IFERROR(IF(INDEX('Attandance Tracker'!$D$3:$AH$50,MATCH($A609,'Attandance Tracker'!$A$3:$A$50,0),DAY($D609))="P","Present",IF(INDEX('Attandance Tracker'!$D$3:$AH$50,MATCH($A609,'Attandance Tracker'!$A$3:$A$50,0),DAY($D609))="A","Absent","Leave")),"")</f>
        <v>Present</v>
      </c>
    </row>
    <row r="610" spans="1:9" x14ac:dyDescent="0.25">
      <c r="A610">
        <v>1020</v>
      </c>
      <c r="B610" t="str">
        <f>_xlfn.IFNA(INDEX('Attandance Tracker'!$B$3:$B$30,MATCH($A610,'Attandance Tracker'!$A$3:$A$30,0)),"")</f>
        <v xml:space="preserve"> Meena</v>
      </c>
      <c r="C610" s="14" t="str">
        <f>_xlfn.IFNA(INDEX('Attandance Tracker'!$C$3:$C$30,MATCH($A610,'Attandance Tracker'!$A$3:$A$30,0)),"")</f>
        <v>Operations</v>
      </c>
      <c r="D610" s="14">
        <v>18</v>
      </c>
      <c r="E610" s="7">
        <v>0.33333333333333331</v>
      </c>
      <c r="F610" s="7">
        <v>0.83333333333333337</v>
      </c>
      <c r="G610" s="7">
        <f t="shared" si="27"/>
        <v>0.33333333333333331</v>
      </c>
      <c r="H610" s="7">
        <f t="shared" si="28"/>
        <v>0.16666666666666669</v>
      </c>
      <c r="I610" t="str">
        <f>IFERROR(IF(INDEX('Attandance Tracker'!$D$3:$AH$50,MATCH($A610,'Attandance Tracker'!$A$3:$A$50,0),DAY($D610))="P","Present",IF(INDEX('Attandance Tracker'!$D$3:$AH$50,MATCH($A610,'Attandance Tracker'!$A$3:$A$50,0),DAY($D610))="A","Absent","Leave")),"")</f>
        <v>Present</v>
      </c>
    </row>
    <row r="611" spans="1:9" x14ac:dyDescent="0.25">
      <c r="A611">
        <v>1020</v>
      </c>
      <c r="B611" t="str">
        <f>_xlfn.IFNA(INDEX('Attandance Tracker'!$B$3:$B$30,MATCH($A611,'Attandance Tracker'!$A$3:$A$30,0)),"")</f>
        <v xml:space="preserve"> Meena</v>
      </c>
      <c r="C611" s="14" t="str">
        <f>_xlfn.IFNA(INDEX('Attandance Tracker'!$C$3:$C$30,MATCH($A611,'Attandance Tracker'!$A$3:$A$30,0)),"")</f>
        <v>Operations</v>
      </c>
      <c r="D611" s="14">
        <v>19</v>
      </c>
      <c r="E611" s="7">
        <v>0.33333333333333331</v>
      </c>
      <c r="F611" s="7">
        <v>0.75</v>
      </c>
      <c r="G611" s="7">
        <f t="shared" si="27"/>
        <v>0.33333333333333331</v>
      </c>
      <c r="H611" s="7">
        <f t="shared" si="28"/>
        <v>8.333333333333337E-2</v>
      </c>
      <c r="I611" t="str">
        <f>IFERROR(IF(INDEX('Attandance Tracker'!$D$3:$AH$50,MATCH($A611,'Attandance Tracker'!$A$3:$A$50,0),DAY($D611))="P","Present",IF(INDEX('Attandance Tracker'!$D$3:$AH$50,MATCH($A611,'Attandance Tracker'!$A$3:$A$50,0),DAY($D611))="A","Absent","Leave")),"")</f>
        <v>Present</v>
      </c>
    </row>
    <row r="612" spans="1:9" x14ac:dyDescent="0.25">
      <c r="A612">
        <v>1020</v>
      </c>
      <c r="B612" t="str">
        <f>_xlfn.IFNA(INDEX('Attandance Tracker'!$B$3:$B$30,MATCH($A612,'Attandance Tracker'!$A$3:$A$30,0)),"")</f>
        <v xml:space="preserve"> Meena</v>
      </c>
      <c r="C612" s="14" t="str">
        <f>_xlfn.IFNA(INDEX('Attandance Tracker'!$C$3:$C$30,MATCH($A612,'Attandance Tracker'!$A$3:$A$30,0)),"")</f>
        <v>Operations</v>
      </c>
      <c r="D612" s="14">
        <v>20</v>
      </c>
      <c r="E612" s="7">
        <v>0.33333333333333331</v>
      </c>
      <c r="F612" s="7">
        <v>0.83333333333333337</v>
      </c>
      <c r="G612" s="7">
        <f t="shared" si="27"/>
        <v>0.33333333333333331</v>
      </c>
      <c r="H612" s="7">
        <f t="shared" si="28"/>
        <v>0.16666666666666669</v>
      </c>
      <c r="I612" t="str">
        <f>IFERROR(IF(INDEX('Attandance Tracker'!$D$3:$AH$50,MATCH($A612,'Attandance Tracker'!$A$3:$A$50,0),DAY($D612))="P","Present",IF(INDEX('Attandance Tracker'!$D$3:$AH$50,MATCH($A612,'Attandance Tracker'!$A$3:$A$50,0),DAY($D612))="A","Absent","Leave")),"")</f>
        <v>Present</v>
      </c>
    </row>
    <row r="613" spans="1:9" x14ac:dyDescent="0.25">
      <c r="A613">
        <v>1020</v>
      </c>
      <c r="B613" t="str">
        <f>_xlfn.IFNA(INDEX('Attandance Tracker'!$B$3:$B$30,MATCH($A613,'Attandance Tracker'!$A$3:$A$30,0)),"")</f>
        <v xml:space="preserve"> Meena</v>
      </c>
      <c r="C613" s="14" t="str">
        <f>_xlfn.IFNA(INDEX('Attandance Tracker'!$C$3:$C$30,MATCH($A613,'Attandance Tracker'!$A$3:$A$30,0)),"")</f>
        <v>Operations</v>
      </c>
      <c r="D613" s="14">
        <v>21</v>
      </c>
      <c r="E613" s="7">
        <v>0.33333333333333331</v>
      </c>
      <c r="F613" s="7">
        <v>0.83333333333333337</v>
      </c>
      <c r="G613" s="7">
        <f t="shared" si="27"/>
        <v>0.33333333333333331</v>
      </c>
      <c r="H613" s="7">
        <f t="shared" si="28"/>
        <v>0.16666666666666669</v>
      </c>
      <c r="I613" t="str">
        <f>IFERROR(IF(INDEX('Attandance Tracker'!$D$3:$AH$50,MATCH($A613,'Attandance Tracker'!$A$3:$A$50,0),DAY($D613))="P","Present",IF(INDEX('Attandance Tracker'!$D$3:$AH$50,MATCH($A613,'Attandance Tracker'!$A$3:$A$50,0),DAY($D613))="A","Absent","Leave")),"")</f>
        <v>Present</v>
      </c>
    </row>
    <row r="614" spans="1:9" x14ac:dyDescent="0.25">
      <c r="A614">
        <v>1020</v>
      </c>
      <c r="B614" t="str">
        <f>_xlfn.IFNA(INDEX('Attandance Tracker'!$B$3:$B$30,MATCH($A614,'Attandance Tracker'!$A$3:$A$30,0)),"")</f>
        <v xml:space="preserve"> Meena</v>
      </c>
      <c r="C614" s="14" t="str">
        <f>_xlfn.IFNA(INDEX('Attandance Tracker'!$C$3:$C$30,MATCH($A614,'Attandance Tracker'!$A$3:$A$30,0)),"")</f>
        <v>Operations</v>
      </c>
      <c r="D614" s="14">
        <v>22</v>
      </c>
      <c r="E614" s="7">
        <v>0.33333333333333331</v>
      </c>
      <c r="F614" s="7">
        <v>0.83333333333333337</v>
      </c>
      <c r="G614" s="7">
        <f t="shared" si="27"/>
        <v>0.33333333333333331</v>
      </c>
      <c r="H614" s="7">
        <f t="shared" si="28"/>
        <v>0.16666666666666669</v>
      </c>
      <c r="I614" t="str">
        <f>IFERROR(IF(INDEX('Attandance Tracker'!$D$3:$AH$50,MATCH($A614,'Attandance Tracker'!$A$3:$A$50,0),DAY($D614))="P","Present",IF(INDEX('Attandance Tracker'!$D$3:$AH$50,MATCH($A614,'Attandance Tracker'!$A$3:$A$50,0),DAY($D614))="A","Absent","Leave")),"")</f>
        <v>Present</v>
      </c>
    </row>
    <row r="615" spans="1:9" x14ac:dyDescent="0.25">
      <c r="A615">
        <v>1020</v>
      </c>
      <c r="B615" t="str">
        <f>_xlfn.IFNA(INDEX('Attandance Tracker'!$B$3:$B$30,MATCH($A615,'Attandance Tracker'!$A$3:$A$30,0)),"")</f>
        <v xml:space="preserve"> Meena</v>
      </c>
      <c r="C615" s="14" t="str">
        <f>_xlfn.IFNA(INDEX('Attandance Tracker'!$C$3:$C$30,MATCH($A615,'Attandance Tracker'!$A$3:$A$30,0)),"")</f>
        <v>Operations</v>
      </c>
      <c r="D615" s="14">
        <v>23</v>
      </c>
      <c r="E615" s="7">
        <v>0.33333333333333331</v>
      </c>
      <c r="F615" s="7">
        <v>0.79166666666666663</v>
      </c>
      <c r="G615" s="7">
        <f t="shared" si="27"/>
        <v>0.33333333333333331</v>
      </c>
      <c r="H615" s="7">
        <f t="shared" si="28"/>
        <v>0.125</v>
      </c>
      <c r="I615" t="str">
        <f>IFERROR(IF(INDEX('Attandance Tracker'!$D$3:$AH$50,MATCH($A615,'Attandance Tracker'!$A$3:$A$50,0),DAY($D615))="P","Present",IF(INDEX('Attandance Tracker'!$D$3:$AH$50,MATCH($A615,'Attandance Tracker'!$A$3:$A$50,0),DAY($D615))="A","Absent","Leave")),"")</f>
        <v>Present</v>
      </c>
    </row>
    <row r="616" spans="1:9" x14ac:dyDescent="0.25">
      <c r="A616">
        <v>1020</v>
      </c>
      <c r="B616" t="str">
        <f>_xlfn.IFNA(INDEX('Attandance Tracker'!$B$3:$B$30,MATCH($A616,'Attandance Tracker'!$A$3:$A$30,0)),"")</f>
        <v xml:space="preserve"> Meena</v>
      </c>
      <c r="C616" s="14" t="str">
        <f>_xlfn.IFNA(INDEX('Attandance Tracker'!$C$3:$C$30,MATCH($A616,'Attandance Tracker'!$A$3:$A$30,0)),"")</f>
        <v>Operations</v>
      </c>
      <c r="D616" s="14">
        <v>24</v>
      </c>
      <c r="E616" s="7">
        <v>0.375</v>
      </c>
      <c r="F616" s="7">
        <v>0.83333333333333337</v>
      </c>
      <c r="G616" s="7">
        <f t="shared" si="27"/>
        <v>0.33333333333333331</v>
      </c>
      <c r="H616" s="7">
        <f t="shared" si="28"/>
        <v>0.12500000000000006</v>
      </c>
      <c r="I616" t="str">
        <f>IFERROR(IF(INDEX('Attandance Tracker'!$D$3:$AH$50,MATCH($A616,'Attandance Tracker'!$A$3:$A$50,0),DAY($D616))="P","Present",IF(INDEX('Attandance Tracker'!$D$3:$AH$50,MATCH($A616,'Attandance Tracker'!$A$3:$A$50,0),DAY($D616))="A","Absent","Leave")),"")</f>
        <v>Present</v>
      </c>
    </row>
    <row r="617" spans="1:9" x14ac:dyDescent="0.25">
      <c r="A617">
        <v>1020</v>
      </c>
      <c r="B617" t="str">
        <f>_xlfn.IFNA(INDEX('Attandance Tracker'!$B$3:$B$30,MATCH($A617,'Attandance Tracker'!$A$3:$A$30,0)),"")</f>
        <v xml:space="preserve"> Meena</v>
      </c>
      <c r="C617" s="14" t="str">
        <f>_xlfn.IFNA(INDEX('Attandance Tracker'!$C$3:$C$30,MATCH($A617,'Attandance Tracker'!$A$3:$A$30,0)),"")</f>
        <v>Operations</v>
      </c>
      <c r="D617" s="14">
        <v>25</v>
      </c>
      <c r="E617" s="7">
        <v>0.375</v>
      </c>
      <c r="F617" s="7">
        <v>0.75</v>
      </c>
      <c r="G617" s="7">
        <f t="shared" si="27"/>
        <v>0.33333333333333331</v>
      </c>
      <c r="H617" s="7">
        <f t="shared" si="28"/>
        <v>4.1666666666666685E-2</v>
      </c>
      <c r="I617" t="str">
        <f>IFERROR(IF(INDEX('Attandance Tracker'!$D$3:$AH$50,MATCH($A617,'Attandance Tracker'!$A$3:$A$50,0),DAY($D617))="P","Present",IF(INDEX('Attandance Tracker'!$D$3:$AH$50,MATCH($A617,'Attandance Tracker'!$A$3:$A$50,0),DAY($D617))="A","Absent","Leave")),"")</f>
        <v>Present</v>
      </c>
    </row>
    <row r="618" spans="1:9" x14ac:dyDescent="0.25">
      <c r="A618">
        <v>1020</v>
      </c>
      <c r="B618" t="str">
        <f>_xlfn.IFNA(INDEX('Attandance Tracker'!$B$3:$B$30,MATCH($A618,'Attandance Tracker'!$A$3:$A$30,0)),"")</f>
        <v xml:space="preserve"> Meena</v>
      </c>
      <c r="C618" s="14" t="str">
        <f>_xlfn.IFNA(INDEX('Attandance Tracker'!$C$3:$C$30,MATCH($A618,'Attandance Tracker'!$A$3:$A$30,0)),"")</f>
        <v>Operations</v>
      </c>
      <c r="D618" s="14">
        <v>26</v>
      </c>
      <c r="E618" s="7">
        <v>0.375</v>
      </c>
      <c r="F618" s="7">
        <v>0.83333333333333337</v>
      </c>
      <c r="G618" s="7">
        <f t="shared" si="27"/>
        <v>0.33333333333333331</v>
      </c>
      <c r="H618" s="7">
        <f t="shared" si="28"/>
        <v>0</v>
      </c>
      <c r="I618" t="str">
        <f>IFERROR(IF(INDEX('Attandance Tracker'!$D$3:$AH$50,MATCH($A618,'Attandance Tracker'!$A$3:$A$50,0),DAY($D618))="P","Present",IF(INDEX('Attandance Tracker'!$D$3:$AH$50,MATCH($A618,'Attandance Tracker'!$A$3:$A$50,0),DAY($D618))="A","Absent","Leave")),"")</f>
        <v>Absent</v>
      </c>
    </row>
    <row r="619" spans="1:9" x14ac:dyDescent="0.25">
      <c r="A619">
        <v>1020</v>
      </c>
      <c r="B619" t="str">
        <f>_xlfn.IFNA(INDEX('Attandance Tracker'!$B$3:$B$30,MATCH($A619,'Attandance Tracker'!$A$3:$A$30,0)),"")</f>
        <v xml:space="preserve"> Meena</v>
      </c>
      <c r="C619" s="14" t="str">
        <f>_xlfn.IFNA(INDEX('Attandance Tracker'!$C$3:$C$30,MATCH($A619,'Attandance Tracker'!$A$3:$A$30,0)),"")</f>
        <v>Operations</v>
      </c>
      <c r="D619" s="14">
        <v>27</v>
      </c>
      <c r="E619" s="7">
        <v>0.375</v>
      </c>
      <c r="F619" s="7">
        <v>0.83333333333333337</v>
      </c>
      <c r="G619" s="7">
        <f t="shared" si="27"/>
        <v>0.33333333333333331</v>
      </c>
      <c r="H619" s="7">
        <f t="shared" si="28"/>
        <v>0</v>
      </c>
      <c r="I619" t="str">
        <f>IFERROR(IF(INDEX('Attandance Tracker'!$D$3:$AH$50,MATCH($A619,'Attandance Tracker'!$A$3:$A$50,0),DAY($D619))="P","Present",IF(INDEX('Attandance Tracker'!$D$3:$AH$50,MATCH($A619,'Attandance Tracker'!$A$3:$A$50,0),DAY($D619))="A","Absent","Leave")),"")</f>
        <v>Absent</v>
      </c>
    </row>
    <row r="620" spans="1:9" x14ac:dyDescent="0.25">
      <c r="A620">
        <v>1020</v>
      </c>
      <c r="B620" t="str">
        <f>_xlfn.IFNA(INDEX('Attandance Tracker'!$B$3:$B$30,MATCH($A620,'Attandance Tracker'!$A$3:$A$30,0)),"")</f>
        <v xml:space="preserve"> Meena</v>
      </c>
      <c r="C620" s="14" t="str">
        <f>_xlfn.IFNA(INDEX('Attandance Tracker'!$C$3:$C$30,MATCH($A620,'Attandance Tracker'!$A$3:$A$30,0)),"")</f>
        <v>Operations</v>
      </c>
      <c r="D620" s="14">
        <v>28</v>
      </c>
      <c r="E620" s="7">
        <v>0.33333333333333331</v>
      </c>
      <c r="F620" s="7">
        <v>0.79166666666666663</v>
      </c>
      <c r="G620" s="7">
        <f t="shared" si="27"/>
        <v>0.33333333333333331</v>
      </c>
      <c r="H620" s="7">
        <f t="shared" si="28"/>
        <v>0.125</v>
      </c>
      <c r="I620" t="str">
        <f>IFERROR(IF(INDEX('Attandance Tracker'!$D$3:$AH$50,MATCH($A620,'Attandance Tracker'!$A$3:$A$50,0),DAY($D620))="P","Present",IF(INDEX('Attandance Tracker'!$D$3:$AH$50,MATCH($A620,'Attandance Tracker'!$A$3:$A$50,0),DAY($D620))="A","Absent","Leave")),"")</f>
        <v>Present</v>
      </c>
    </row>
    <row r="621" spans="1:9" x14ac:dyDescent="0.25">
      <c r="A621">
        <v>1020</v>
      </c>
      <c r="B621" t="str">
        <f>_xlfn.IFNA(INDEX('Attandance Tracker'!$B$3:$B$30,MATCH($A621,'Attandance Tracker'!$A$3:$A$30,0)),"")</f>
        <v xml:space="preserve"> Meena</v>
      </c>
      <c r="C621" s="14" t="str">
        <f>_xlfn.IFNA(INDEX('Attandance Tracker'!$C$3:$C$30,MATCH($A621,'Attandance Tracker'!$A$3:$A$30,0)),"")</f>
        <v>Operations</v>
      </c>
      <c r="D621" s="14">
        <v>29</v>
      </c>
      <c r="E621" s="7">
        <v>0.33333333333333331</v>
      </c>
      <c r="F621" s="7">
        <v>0.83333333333333337</v>
      </c>
      <c r="G621" s="7">
        <f t="shared" si="27"/>
        <v>0.33333333333333331</v>
      </c>
      <c r="H621" s="7">
        <f t="shared" si="28"/>
        <v>0.16666666666666669</v>
      </c>
      <c r="I621" t="str">
        <f>IFERROR(IF(INDEX('Attandance Tracker'!$D$3:$AH$50,MATCH($A621,'Attandance Tracker'!$A$3:$A$50,0),DAY($D621))="P","Present",IF(INDEX('Attandance Tracker'!$D$3:$AH$50,MATCH($A621,'Attandance Tracker'!$A$3:$A$50,0),DAY($D621))="A","Absent","Leave")),"")</f>
        <v>Present</v>
      </c>
    </row>
    <row r="622" spans="1:9" x14ac:dyDescent="0.25">
      <c r="A622">
        <v>1020</v>
      </c>
      <c r="B622" t="str">
        <f>_xlfn.IFNA(INDEX('Attandance Tracker'!$B$3:$B$30,MATCH($A622,'Attandance Tracker'!$A$3:$A$30,0)),"")</f>
        <v xml:space="preserve"> Meena</v>
      </c>
      <c r="C622" s="14" t="str">
        <f>_xlfn.IFNA(INDEX('Attandance Tracker'!$C$3:$C$30,MATCH($A622,'Attandance Tracker'!$A$3:$A$30,0)),"")</f>
        <v>Operations</v>
      </c>
      <c r="D622" s="14">
        <v>30</v>
      </c>
      <c r="E622" s="7">
        <v>0.33333333333333331</v>
      </c>
      <c r="F622" s="7">
        <v>0.75</v>
      </c>
      <c r="G622" s="7">
        <f t="shared" si="27"/>
        <v>0.33333333333333331</v>
      </c>
      <c r="H622" s="7">
        <f t="shared" si="28"/>
        <v>8.333333333333337E-2</v>
      </c>
      <c r="I622" t="str">
        <f>IFERROR(IF(INDEX('Attandance Tracker'!$D$3:$AH$50,MATCH($A622,'Attandance Tracker'!$A$3:$A$50,0),DAY($D622))="P","Present",IF(INDEX('Attandance Tracker'!$D$3:$AH$50,MATCH($A622,'Attandance Tracker'!$A$3:$A$50,0),DAY($D622))="A","Absent","Leave")),"")</f>
        <v>Present</v>
      </c>
    </row>
    <row r="623" spans="1:9" x14ac:dyDescent="0.25">
      <c r="A623">
        <v>1020</v>
      </c>
      <c r="B623" t="str">
        <f>_xlfn.IFNA(INDEX('Attandance Tracker'!$B$3:$B$30,MATCH($A623,'Attandance Tracker'!$A$3:$A$30,0)),"")</f>
        <v xml:space="preserve"> Meena</v>
      </c>
      <c r="C623" s="14" t="str">
        <f>_xlfn.IFNA(INDEX('Attandance Tracker'!$C$3:$C$30,MATCH($A623,'Attandance Tracker'!$A$3:$A$30,0)),"")</f>
        <v>Operations</v>
      </c>
      <c r="D623" s="14">
        <v>31</v>
      </c>
      <c r="E623" s="7">
        <v>0.33333333333333331</v>
      </c>
      <c r="F623" s="7">
        <v>0.83333333333333337</v>
      </c>
      <c r="G623" s="7">
        <f t="shared" si="27"/>
        <v>0.33333333333333331</v>
      </c>
      <c r="H623" s="7">
        <f t="shared" si="28"/>
        <v>0.16666666666666669</v>
      </c>
      <c r="I623" t="str">
        <f>IFERROR(IF(INDEX('Attandance Tracker'!$D$3:$AH$50,MATCH($A623,'Attandance Tracker'!$A$3:$A$50,0),DAY($D623))="P","Present",IF(INDEX('Attandance Tracker'!$D$3:$AH$50,MATCH($A623,'Attandance Tracker'!$A$3:$A$50,0),DAY($D623))="A","Absent","Leave")),"")</f>
        <v>Present</v>
      </c>
    </row>
    <row r="624" spans="1:9" x14ac:dyDescent="0.25">
      <c r="A624">
        <v>1021</v>
      </c>
      <c r="B624" t="str">
        <f>_xlfn.IFNA(INDEX('Attandance Tracker'!$B$3:$B$30,MATCH($A624,'Attandance Tracker'!$A$3:$A$30,0)),"")</f>
        <v xml:space="preserve"> Akash</v>
      </c>
      <c r="C624" s="14" t="str">
        <f>_xlfn.IFNA(INDEX('Attandance Tracker'!$C$3:$C$30,MATCH($A624,'Attandance Tracker'!$A$3:$A$30,0)),"")</f>
        <v>HR</v>
      </c>
      <c r="D624" s="14">
        <v>1</v>
      </c>
      <c r="E624" s="7">
        <v>0.33333333333333331</v>
      </c>
      <c r="F624" s="7">
        <v>0.79166666666666663</v>
      </c>
      <c r="G624" s="7">
        <f t="shared" si="27"/>
        <v>0.33333333333333331</v>
      </c>
      <c r="H624" s="7">
        <f t="shared" si="28"/>
        <v>0.125</v>
      </c>
      <c r="I624" t="str">
        <f>IFERROR(IF(INDEX('Attandance Tracker'!$D$3:$AH$50,MATCH($A624,'Attandance Tracker'!$A$3:$A$50,0),DAY($D624))="P","Present",IF(INDEX('Attandance Tracker'!$D$3:$AH$50,MATCH($A624,'Attandance Tracker'!$A$3:$A$50,0),DAY($D624))="A","Absent","Leave")),"")</f>
        <v>Present</v>
      </c>
    </row>
    <row r="625" spans="1:9" x14ac:dyDescent="0.25">
      <c r="A625">
        <v>1021</v>
      </c>
      <c r="B625" t="str">
        <f>_xlfn.IFNA(INDEX('Attandance Tracker'!$B$3:$B$30,MATCH($A625,'Attandance Tracker'!$A$3:$A$30,0)),"")</f>
        <v xml:space="preserve"> Akash</v>
      </c>
      <c r="C625" s="14" t="str">
        <f>_xlfn.IFNA(INDEX('Attandance Tracker'!$C$3:$C$30,MATCH($A625,'Attandance Tracker'!$A$3:$A$30,0)),"")</f>
        <v>HR</v>
      </c>
      <c r="D625" s="14">
        <v>2</v>
      </c>
      <c r="E625" s="7">
        <v>0.33333333333333331</v>
      </c>
      <c r="F625" s="7">
        <v>0.83333333333333337</v>
      </c>
      <c r="G625" s="7">
        <f t="shared" si="27"/>
        <v>0.33333333333333331</v>
      </c>
      <c r="H625" s="7">
        <f t="shared" si="28"/>
        <v>0.16666666666666669</v>
      </c>
      <c r="I625" t="str">
        <f>IFERROR(IF(INDEX('Attandance Tracker'!$D$3:$AH$50,MATCH($A625,'Attandance Tracker'!$A$3:$A$50,0),DAY($D625))="P","Present",IF(INDEX('Attandance Tracker'!$D$3:$AH$50,MATCH($A625,'Attandance Tracker'!$A$3:$A$50,0),DAY($D625))="A","Absent","Leave")),"")</f>
        <v>Present</v>
      </c>
    </row>
    <row r="626" spans="1:9" x14ac:dyDescent="0.25">
      <c r="A626">
        <v>1021</v>
      </c>
      <c r="B626" t="str">
        <f>_xlfn.IFNA(INDEX('Attandance Tracker'!$B$3:$B$30,MATCH($A626,'Attandance Tracker'!$A$3:$A$30,0)),"")</f>
        <v xml:space="preserve"> Akash</v>
      </c>
      <c r="C626" s="14" t="str">
        <f>_xlfn.IFNA(INDEX('Attandance Tracker'!$C$3:$C$30,MATCH($A626,'Attandance Tracker'!$A$3:$A$30,0)),"")</f>
        <v>HR</v>
      </c>
      <c r="D626" s="14">
        <v>3</v>
      </c>
      <c r="E626" s="7">
        <v>0.33333333333333331</v>
      </c>
      <c r="F626" s="7">
        <v>0.75</v>
      </c>
      <c r="G626" s="7">
        <f t="shared" si="27"/>
        <v>0.33333333333333331</v>
      </c>
      <c r="H626" s="7">
        <f t="shared" si="28"/>
        <v>8.333333333333337E-2</v>
      </c>
      <c r="I626" t="str">
        <f>IFERROR(IF(INDEX('Attandance Tracker'!$D$3:$AH$50,MATCH($A626,'Attandance Tracker'!$A$3:$A$50,0),DAY($D626))="P","Present",IF(INDEX('Attandance Tracker'!$D$3:$AH$50,MATCH($A626,'Attandance Tracker'!$A$3:$A$50,0),DAY($D626))="A","Absent","Leave")),"")</f>
        <v>Present</v>
      </c>
    </row>
    <row r="627" spans="1:9" x14ac:dyDescent="0.25">
      <c r="A627">
        <v>1021</v>
      </c>
      <c r="B627" t="str">
        <f>_xlfn.IFNA(INDEX('Attandance Tracker'!$B$3:$B$30,MATCH($A627,'Attandance Tracker'!$A$3:$A$30,0)),"")</f>
        <v xml:space="preserve"> Akash</v>
      </c>
      <c r="C627" s="14" t="str">
        <f>_xlfn.IFNA(INDEX('Attandance Tracker'!$C$3:$C$30,MATCH($A627,'Attandance Tracker'!$A$3:$A$30,0)),"")</f>
        <v>HR</v>
      </c>
      <c r="D627" s="14">
        <v>4</v>
      </c>
      <c r="E627" s="7">
        <v>0.375</v>
      </c>
      <c r="F627" s="7">
        <v>0.83333333333333337</v>
      </c>
      <c r="G627" s="7">
        <f t="shared" si="27"/>
        <v>0.33333333333333331</v>
      </c>
      <c r="H627" s="7">
        <f t="shared" si="28"/>
        <v>0.12500000000000006</v>
      </c>
      <c r="I627" t="str">
        <f>IFERROR(IF(INDEX('Attandance Tracker'!$D$3:$AH$50,MATCH($A627,'Attandance Tracker'!$A$3:$A$50,0),DAY($D627))="P","Present",IF(INDEX('Attandance Tracker'!$D$3:$AH$50,MATCH($A627,'Attandance Tracker'!$A$3:$A$50,0),DAY($D627))="A","Absent","Leave")),"")</f>
        <v>Present</v>
      </c>
    </row>
    <row r="628" spans="1:9" x14ac:dyDescent="0.25">
      <c r="A628">
        <v>1021</v>
      </c>
      <c r="B628" t="str">
        <f>_xlfn.IFNA(INDEX('Attandance Tracker'!$B$3:$B$30,MATCH($A628,'Attandance Tracker'!$A$3:$A$30,0)),"")</f>
        <v xml:space="preserve"> Akash</v>
      </c>
      <c r="C628" s="14" t="str">
        <f>_xlfn.IFNA(INDEX('Attandance Tracker'!$C$3:$C$30,MATCH($A628,'Attandance Tracker'!$A$3:$A$30,0)),"")</f>
        <v>HR</v>
      </c>
      <c r="D628" s="14">
        <v>5</v>
      </c>
      <c r="E628" s="7">
        <v>0.375</v>
      </c>
      <c r="F628" s="7">
        <v>0.83333333333333337</v>
      </c>
      <c r="G628" s="7">
        <f t="shared" si="27"/>
        <v>0.33333333333333331</v>
      </c>
      <c r="H628" s="7">
        <f t="shared" si="28"/>
        <v>0.12500000000000006</v>
      </c>
      <c r="I628" t="str">
        <f>IFERROR(IF(INDEX('Attandance Tracker'!$D$3:$AH$50,MATCH($A628,'Attandance Tracker'!$A$3:$A$50,0),DAY($D628))="P","Present",IF(INDEX('Attandance Tracker'!$D$3:$AH$50,MATCH($A628,'Attandance Tracker'!$A$3:$A$50,0),DAY($D628))="A","Absent","Leave")),"")</f>
        <v>Present</v>
      </c>
    </row>
    <row r="629" spans="1:9" x14ac:dyDescent="0.25">
      <c r="A629">
        <v>1021</v>
      </c>
      <c r="B629" t="str">
        <f>_xlfn.IFNA(INDEX('Attandance Tracker'!$B$3:$B$30,MATCH($A629,'Attandance Tracker'!$A$3:$A$30,0)),"")</f>
        <v xml:space="preserve"> Akash</v>
      </c>
      <c r="C629" s="14" t="str">
        <f>_xlfn.IFNA(INDEX('Attandance Tracker'!$C$3:$C$30,MATCH($A629,'Attandance Tracker'!$A$3:$A$30,0)),"")</f>
        <v>HR</v>
      </c>
      <c r="D629" s="14">
        <v>6</v>
      </c>
      <c r="E629" s="7">
        <v>0.33333333333333331</v>
      </c>
      <c r="F629" s="7">
        <v>0.83333333333333337</v>
      </c>
      <c r="G629" s="7">
        <f t="shared" si="27"/>
        <v>0.33333333333333331</v>
      </c>
      <c r="H629" s="7">
        <f t="shared" si="28"/>
        <v>0.16666666666666669</v>
      </c>
      <c r="I629" t="str">
        <f>IFERROR(IF(INDEX('Attandance Tracker'!$D$3:$AH$50,MATCH($A629,'Attandance Tracker'!$A$3:$A$50,0),DAY($D629))="P","Present",IF(INDEX('Attandance Tracker'!$D$3:$AH$50,MATCH($A629,'Attandance Tracker'!$A$3:$A$50,0),DAY($D629))="A","Absent","Leave")),"")</f>
        <v>Present</v>
      </c>
    </row>
    <row r="630" spans="1:9" x14ac:dyDescent="0.25">
      <c r="A630">
        <v>1021</v>
      </c>
      <c r="B630" t="str">
        <f>_xlfn.IFNA(INDEX('Attandance Tracker'!$B$3:$B$30,MATCH($A630,'Attandance Tracker'!$A$3:$A$30,0)),"")</f>
        <v xml:space="preserve"> Akash</v>
      </c>
      <c r="C630" s="14" t="str">
        <f>_xlfn.IFNA(INDEX('Attandance Tracker'!$C$3:$C$30,MATCH($A630,'Attandance Tracker'!$A$3:$A$30,0)),"")</f>
        <v>HR</v>
      </c>
      <c r="D630" s="14">
        <v>7</v>
      </c>
      <c r="E630" s="7">
        <v>0.375</v>
      </c>
      <c r="F630" s="7">
        <v>0.79166666666666663</v>
      </c>
      <c r="G630" s="7">
        <f t="shared" si="27"/>
        <v>0.33333333333333331</v>
      </c>
      <c r="H630" s="7">
        <f t="shared" si="28"/>
        <v>8.3333333333333315E-2</v>
      </c>
      <c r="I630" t="str">
        <f>IFERROR(IF(INDEX('Attandance Tracker'!$D$3:$AH$50,MATCH($A630,'Attandance Tracker'!$A$3:$A$50,0),DAY($D630))="P","Present",IF(INDEX('Attandance Tracker'!$D$3:$AH$50,MATCH($A630,'Attandance Tracker'!$A$3:$A$50,0),DAY($D630))="A","Absent","Leave")),"")</f>
        <v>Present</v>
      </c>
    </row>
    <row r="631" spans="1:9" x14ac:dyDescent="0.25">
      <c r="A631">
        <v>1021</v>
      </c>
      <c r="B631" t="str">
        <f>_xlfn.IFNA(INDEX('Attandance Tracker'!$B$3:$B$30,MATCH($A631,'Attandance Tracker'!$A$3:$A$30,0)),"")</f>
        <v xml:space="preserve"> Akash</v>
      </c>
      <c r="C631" s="14" t="str">
        <f>_xlfn.IFNA(INDEX('Attandance Tracker'!$C$3:$C$30,MATCH($A631,'Attandance Tracker'!$A$3:$A$30,0)),"")</f>
        <v>HR</v>
      </c>
      <c r="D631" s="14">
        <v>8</v>
      </c>
      <c r="E631" s="7">
        <v>0.375</v>
      </c>
      <c r="F631" s="7">
        <v>0.83333333333333337</v>
      </c>
      <c r="G631" s="7">
        <f t="shared" si="27"/>
        <v>0.33333333333333331</v>
      </c>
      <c r="H631" s="7">
        <f t="shared" si="28"/>
        <v>0.12500000000000006</v>
      </c>
      <c r="I631" t="str">
        <f>IFERROR(IF(INDEX('Attandance Tracker'!$D$3:$AH$50,MATCH($A631,'Attandance Tracker'!$A$3:$A$50,0),DAY($D631))="P","Present",IF(INDEX('Attandance Tracker'!$D$3:$AH$50,MATCH($A631,'Attandance Tracker'!$A$3:$A$50,0),DAY($D631))="A","Absent","Leave")),"")</f>
        <v>Present</v>
      </c>
    </row>
    <row r="632" spans="1:9" x14ac:dyDescent="0.25">
      <c r="A632">
        <v>1021</v>
      </c>
      <c r="B632" t="str">
        <f>_xlfn.IFNA(INDEX('Attandance Tracker'!$B$3:$B$30,MATCH($A632,'Attandance Tracker'!$A$3:$A$30,0)),"")</f>
        <v xml:space="preserve"> Akash</v>
      </c>
      <c r="C632" s="14" t="str">
        <f>_xlfn.IFNA(INDEX('Attandance Tracker'!$C$3:$C$30,MATCH($A632,'Attandance Tracker'!$A$3:$A$30,0)),"")</f>
        <v>HR</v>
      </c>
      <c r="D632" s="14">
        <v>9</v>
      </c>
      <c r="E632" s="7">
        <v>0.375</v>
      </c>
      <c r="F632" s="7">
        <v>0.75</v>
      </c>
      <c r="G632" s="7">
        <f t="shared" si="27"/>
        <v>0.33333333333333331</v>
      </c>
      <c r="H632" s="7">
        <f t="shared" si="28"/>
        <v>4.1666666666666685E-2</v>
      </c>
      <c r="I632" t="str">
        <f>IFERROR(IF(INDEX('Attandance Tracker'!$D$3:$AH$50,MATCH($A632,'Attandance Tracker'!$A$3:$A$50,0),DAY($D632))="P","Present",IF(INDEX('Attandance Tracker'!$D$3:$AH$50,MATCH($A632,'Attandance Tracker'!$A$3:$A$50,0),DAY($D632))="A","Absent","Leave")),"")</f>
        <v>Present</v>
      </c>
    </row>
    <row r="633" spans="1:9" x14ac:dyDescent="0.25">
      <c r="A633">
        <v>1021</v>
      </c>
      <c r="B633" t="str">
        <f>_xlfn.IFNA(INDEX('Attandance Tracker'!$B$3:$B$30,MATCH($A633,'Attandance Tracker'!$A$3:$A$30,0)),"")</f>
        <v xml:space="preserve"> Akash</v>
      </c>
      <c r="C633" s="14" t="str">
        <f>_xlfn.IFNA(INDEX('Attandance Tracker'!$C$3:$C$30,MATCH($A633,'Attandance Tracker'!$A$3:$A$30,0)),"")</f>
        <v>HR</v>
      </c>
      <c r="D633" s="14">
        <v>10</v>
      </c>
      <c r="E633" s="7">
        <v>0.33333333333333331</v>
      </c>
      <c r="F633" s="7">
        <v>0.83333333333333337</v>
      </c>
      <c r="G633" s="7">
        <f t="shared" si="27"/>
        <v>0.33333333333333331</v>
      </c>
      <c r="H633" s="7">
        <f t="shared" si="28"/>
        <v>0.16666666666666669</v>
      </c>
      <c r="I633" t="str">
        <f>IFERROR(IF(INDEX('Attandance Tracker'!$D$3:$AH$50,MATCH($A633,'Attandance Tracker'!$A$3:$A$50,0),DAY($D633))="P","Present",IF(INDEX('Attandance Tracker'!$D$3:$AH$50,MATCH($A633,'Attandance Tracker'!$A$3:$A$50,0),DAY($D633))="A","Absent","Leave")),"")</f>
        <v>Present</v>
      </c>
    </row>
    <row r="634" spans="1:9" x14ac:dyDescent="0.25">
      <c r="A634">
        <v>1021</v>
      </c>
      <c r="B634" t="str">
        <f>_xlfn.IFNA(INDEX('Attandance Tracker'!$B$3:$B$30,MATCH($A634,'Attandance Tracker'!$A$3:$A$30,0)),"")</f>
        <v xml:space="preserve"> Akash</v>
      </c>
      <c r="C634" s="14" t="str">
        <f>_xlfn.IFNA(INDEX('Attandance Tracker'!$C$3:$C$30,MATCH($A634,'Attandance Tracker'!$A$3:$A$30,0)),"")</f>
        <v>HR</v>
      </c>
      <c r="D634" s="14">
        <v>11</v>
      </c>
      <c r="E634" s="7">
        <v>0.33333333333333331</v>
      </c>
      <c r="F634" s="7">
        <v>0.83333333333333337</v>
      </c>
      <c r="G634" s="7">
        <f t="shared" si="27"/>
        <v>0.33333333333333331</v>
      </c>
      <c r="H634" s="7">
        <f t="shared" si="28"/>
        <v>0.16666666666666669</v>
      </c>
      <c r="I634" t="str">
        <f>IFERROR(IF(INDEX('Attandance Tracker'!$D$3:$AH$50,MATCH($A634,'Attandance Tracker'!$A$3:$A$50,0),DAY($D634))="P","Present",IF(INDEX('Attandance Tracker'!$D$3:$AH$50,MATCH($A634,'Attandance Tracker'!$A$3:$A$50,0),DAY($D634))="A","Absent","Leave")),"")</f>
        <v>Present</v>
      </c>
    </row>
    <row r="635" spans="1:9" x14ac:dyDescent="0.25">
      <c r="A635">
        <v>1021</v>
      </c>
      <c r="B635" t="str">
        <f>_xlfn.IFNA(INDEX('Attandance Tracker'!$B$3:$B$30,MATCH($A635,'Attandance Tracker'!$A$3:$A$30,0)),"")</f>
        <v xml:space="preserve"> Akash</v>
      </c>
      <c r="C635" s="14" t="str">
        <f>_xlfn.IFNA(INDEX('Attandance Tracker'!$C$3:$C$30,MATCH($A635,'Attandance Tracker'!$A$3:$A$30,0)),"")</f>
        <v>HR</v>
      </c>
      <c r="D635" s="14">
        <v>12</v>
      </c>
      <c r="E635" s="7">
        <v>0.375</v>
      </c>
      <c r="F635" s="7">
        <v>0.79166666666666663</v>
      </c>
      <c r="G635" s="7">
        <f t="shared" si="27"/>
        <v>0.33333333333333331</v>
      </c>
      <c r="H635" s="7">
        <f t="shared" si="28"/>
        <v>8.3333333333333315E-2</v>
      </c>
      <c r="I635" t="str">
        <f>IFERROR(IF(INDEX('Attandance Tracker'!$D$3:$AH$50,MATCH($A635,'Attandance Tracker'!$A$3:$A$50,0),DAY($D635))="P","Present",IF(INDEX('Attandance Tracker'!$D$3:$AH$50,MATCH($A635,'Attandance Tracker'!$A$3:$A$50,0),DAY($D635))="A","Absent","Leave")),"")</f>
        <v>Present</v>
      </c>
    </row>
    <row r="636" spans="1:9" x14ac:dyDescent="0.25">
      <c r="A636">
        <v>1021</v>
      </c>
      <c r="B636" t="str">
        <f>_xlfn.IFNA(INDEX('Attandance Tracker'!$B$3:$B$30,MATCH($A636,'Attandance Tracker'!$A$3:$A$30,0)),"")</f>
        <v xml:space="preserve"> Akash</v>
      </c>
      <c r="C636" s="14" t="str">
        <f>_xlfn.IFNA(INDEX('Attandance Tracker'!$C$3:$C$30,MATCH($A636,'Attandance Tracker'!$A$3:$A$30,0)),"")</f>
        <v>HR</v>
      </c>
      <c r="D636" s="14">
        <v>13</v>
      </c>
      <c r="E636" s="7">
        <v>0.375</v>
      </c>
      <c r="F636" s="7">
        <v>0.83333333333333337</v>
      </c>
      <c r="G636" s="7">
        <f t="shared" si="27"/>
        <v>0.33333333333333331</v>
      </c>
      <c r="H636" s="7">
        <f t="shared" si="28"/>
        <v>0.12500000000000006</v>
      </c>
      <c r="I636" t="str">
        <f>IFERROR(IF(INDEX('Attandance Tracker'!$D$3:$AH$50,MATCH($A636,'Attandance Tracker'!$A$3:$A$50,0),DAY($D636))="P","Present",IF(INDEX('Attandance Tracker'!$D$3:$AH$50,MATCH($A636,'Attandance Tracker'!$A$3:$A$50,0),DAY($D636))="A","Absent","Leave")),"")</f>
        <v>Present</v>
      </c>
    </row>
    <row r="637" spans="1:9" x14ac:dyDescent="0.25">
      <c r="A637">
        <v>1021</v>
      </c>
      <c r="B637" t="str">
        <f>_xlfn.IFNA(INDEX('Attandance Tracker'!$B$3:$B$30,MATCH($A637,'Attandance Tracker'!$A$3:$A$30,0)),"")</f>
        <v xml:space="preserve"> Akash</v>
      </c>
      <c r="C637" s="14" t="str">
        <f>_xlfn.IFNA(INDEX('Attandance Tracker'!$C$3:$C$30,MATCH($A637,'Attandance Tracker'!$A$3:$A$30,0)),"")</f>
        <v>HR</v>
      </c>
      <c r="D637" s="14">
        <v>14</v>
      </c>
      <c r="E637" s="7">
        <v>0.375</v>
      </c>
      <c r="F637" s="7">
        <v>0.75</v>
      </c>
      <c r="G637" s="7">
        <f t="shared" si="27"/>
        <v>0.33333333333333331</v>
      </c>
      <c r="H637" s="7">
        <f t="shared" si="28"/>
        <v>4.1666666666666685E-2</v>
      </c>
      <c r="I637" t="str">
        <f>IFERROR(IF(INDEX('Attandance Tracker'!$D$3:$AH$50,MATCH($A637,'Attandance Tracker'!$A$3:$A$50,0),DAY($D637))="P","Present",IF(INDEX('Attandance Tracker'!$D$3:$AH$50,MATCH($A637,'Attandance Tracker'!$A$3:$A$50,0),DAY($D637))="A","Absent","Leave")),"")</f>
        <v>Present</v>
      </c>
    </row>
    <row r="638" spans="1:9" x14ac:dyDescent="0.25">
      <c r="A638">
        <v>1021</v>
      </c>
      <c r="B638" t="str">
        <f>_xlfn.IFNA(INDEX('Attandance Tracker'!$B$3:$B$30,MATCH($A638,'Attandance Tracker'!$A$3:$A$30,0)),"")</f>
        <v xml:space="preserve"> Akash</v>
      </c>
      <c r="C638" s="14" t="str">
        <f>_xlfn.IFNA(INDEX('Attandance Tracker'!$C$3:$C$30,MATCH($A638,'Attandance Tracker'!$A$3:$A$30,0)),"")</f>
        <v>HR</v>
      </c>
      <c r="D638" s="14">
        <v>15</v>
      </c>
      <c r="E638" s="7">
        <v>0.33333333333333331</v>
      </c>
      <c r="F638" s="7">
        <v>0.79166666666666663</v>
      </c>
      <c r="G638" s="7">
        <f t="shared" si="27"/>
        <v>0.33333333333333331</v>
      </c>
      <c r="H638" s="7">
        <f t="shared" si="28"/>
        <v>0.125</v>
      </c>
      <c r="I638" t="str">
        <f>IFERROR(IF(INDEX('Attandance Tracker'!$D$3:$AH$50,MATCH($A638,'Attandance Tracker'!$A$3:$A$50,0),DAY($D638))="P","Present",IF(INDEX('Attandance Tracker'!$D$3:$AH$50,MATCH($A638,'Attandance Tracker'!$A$3:$A$50,0),DAY($D638))="A","Absent","Leave")),"")</f>
        <v>Present</v>
      </c>
    </row>
    <row r="639" spans="1:9" x14ac:dyDescent="0.25">
      <c r="A639">
        <v>1021</v>
      </c>
      <c r="B639" t="str">
        <f>_xlfn.IFNA(INDEX('Attandance Tracker'!$B$3:$B$30,MATCH($A639,'Attandance Tracker'!$A$3:$A$30,0)),"")</f>
        <v xml:space="preserve"> Akash</v>
      </c>
      <c r="C639" s="14" t="str">
        <f>_xlfn.IFNA(INDEX('Attandance Tracker'!$C$3:$C$30,MATCH($A639,'Attandance Tracker'!$A$3:$A$30,0)),"")</f>
        <v>HR</v>
      </c>
      <c r="D639" s="14">
        <v>16</v>
      </c>
      <c r="E639" s="7">
        <v>0.33333333333333331</v>
      </c>
      <c r="F639" s="7">
        <v>0.83333333333333337</v>
      </c>
      <c r="G639" s="7">
        <f t="shared" si="27"/>
        <v>0.33333333333333331</v>
      </c>
      <c r="H639" s="7">
        <f t="shared" si="28"/>
        <v>0.16666666666666669</v>
      </c>
      <c r="I639" t="str">
        <f>IFERROR(IF(INDEX('Attandance Tracker'!$D$3:$AH$50,MATCH($A639,'Attandance Tracker'!$A$3:$A$50,0),DAY($D639))="P","Present",IF(INDEX('Attandance Tracker'!$D$3:$AH$50,MATCH($A639,'Attandance Tracker'!$A$3:$A$50,0),DAY($D639))="A","Absent","Leave")),"")</f>
        <v>Present</v>
      </c>
    </row>
    <row r="640" spans="1:9" x14ac:dyDescent="0.25">
      <c r="A640">
        <v>1021</v>
      </c>
      <c r="B640" t="str">
        <f>_xlfn.IFNA(INDEX('Attandance Tracker'!$B$3:$B$30,MATCH($A640,'Attandance Tracker'!$A$3:$A$30,0)),"")</f>
        <v xml:space="preserve"> Akash</v>
      </c>
      <c r="C640" s="14" t="str">
        <f>_xlfn.IFNA(INDEX('Attandance Tracker'!$C$3:$C$30,MATCH($A640,'Attandance Tracker'!$A$3:$A$30,0)),"")</f>
        <v>HR</v>
      </c>
      <c r="D640" s="14">
        <v>17</v>
      </c>
      <c r="E640" s="7">
        <v>0.33333333333333331</v>
      </c>
      <c r="F640" s="7">
        <v>0.75</v>
      </c>
      <c r="G640" s="7">
        <f t="shared" si="27"/>
        <v>0.33333333333333331</v>
      </c>
      <c r="H640" s="7">
        <f t="shared" si="28"/>
        <v>8.333333333333337E-2</v>
      </c>
      <c r="I640" t="str">
        <f>IFERROR(IF(INDEX('Attandance Tracker'!$D$3:$AH$50,MATCH($A640,'Attandance Tracker'!$A$3:$A$50,0),DAY($D640))="P","Present",IF(INDEX('Attandance Tracker'!$D$3:$AH$50,MATCH($A640,'Attandance Tracker'!$A$3:$A$50,0),DAY($D640))="A","Absent","Leave")),"")</f>
        <v>Present</v>
      </c>
    </row>
    <row r="641" spans="1:9" x14ac:dyDescent="0.25">
      <c r="A641">
        <v>1021</v>
      </c>
      <c r="B641" t="str">
        <f>_xlfn.IFNA(INDEX('Attandance Tracker'!$B$3:$B$30,MATCH($A641,'Attandance Tracker'!$A$3:$A$30,0)),"")</f>
        <v xml:space="preserve"> Akash</v>
      </c>
      <c r="C641" s="14" t="str">
        <f>_xlfn.IFNA(INDEX('Attandance Tracker'!$C$3:$C$30,MATCH($A641,'Attandance Tracker'!$A$3:$A$30,0)),"")</f>
        <v>HR</v>
      </c>
      <c r="D641" s="14">
        <v>18</v>
      </c>
      <c r="E641" s="7">
        <v>0.375</v>
      </c>
      <c r="F641" s="7">
        <v>0.83333333333333337</v>
      </c>
      <c r="G641" s="7">
        <f t="shared" si="27"/>
        <v>0.33333333333333331</v>
      </c>
      <c r="H641" s="7">
        <f t="shared" si="28"/>
        <v>0.12500000000000006</v>
      </c>
      <c r="I641" t="str">
        <f>IFERROR(IF(INDEX('Attandance Tracker'!$D$3:$AH$50,MATCH($A641,'Attandance Tracker'!$A$3:$A$50,0),DAY($D641))="P","Present",IF(INDEX('Attandance Tracker'!$D$3:$AH$50,MATCH($A641,'Attandance Tracker'!$A$3:$A$50,0),DAY($D641))="A","Absent","Leave")),"")</f>
        <v>Present</v>
      </c>
    </row>
    <row r="642" spans="1:9" x14ac:dyDescent="0.25">
      <c r="A642">
        <v>1021</v>
      </c>
      <c r="B642" t="str">
        <f>_xlfn.IFNA(INDEX('Attandance Tracker'!$B$3:$B$30,MATCH($A642,'Attandance Tracker'!$A$3:$A$30,0)),"")</f>
        <v xml:space="preserve"> Akash</v>
      </c>
      <c r="C642" s="14" t="str">
        <f>_xlfn.IFNA(INDEX('Attandance Tracker'!$C$3:$C$30,MATCH($A642,'Attandance Tracker'!$A$3:$A$30,0)),"")</f>
        <v>HR</v>
      </c>
      <c r="D642" s="14">
        <v>19</v>
      </c>
      <c r="E642" s="7">
        <v>0.33333333333333331</v>
      </c>
      <c r="F642" s="7">
        <v>0.83333333333333337</v>
      </c>
      <c r="G642" s="7">
        <f t="shared" si="27"/>
        <v>0.33333333333333331</v>
      </c>
      <c r="H642" s="7">
        <f t="shared" si="28"/>
        <v>0.16666666666666669</v>
      </c>
      <c r="I642" t="str">
        <f>IFERROR(IF(INDEX('Attandance Tracker'!$D$3:$AH$50,MATCH($A642,'Attandance Tracker'!$A$3:$A$50,0),DAY($D642))="P","Present",IF(INDEX('Attandance Tracker'!$D$3:$AH$50,MATCH($A642,'Attandance Tracker'!$A$3:$A$50,0),DAY($D642))="A","Absent","Leave")),"")</f>
        <v>Present</v>
      </c>
    </row>
    <row r="643" spans="1:9" x14ac:dyDescent="0.25">
      <c r="A643">
        <v>1021</v>
      </c>
      <c r="B643" t="str">
        <f>_xlfn.IFNA(INDEX('Attandance Tracker'!$B$3:$B$30,MATCH($A643,'Attandance Tracker'!$A$3:$A$30,0)),"")</f>
        <v xml:space="preserve"> Akash</v>
      </c>
      <c r="C643" s="14" t="str">
        <f>_xlfn.IFNA(INDEX('Attandance Tracker'!$C$3:$C$30,MATCH($A643,'Attandance Tracker'!$A$3:$A$30,0)),"")</f>
        <v>HR</v>
      </c>
      <c r="D643" s="14">
        <v>20</v>
      </c>
      <c r="E643" s="7">
        <v>0.33333333333333331</v>
      </c>
      <c r="F643" s="7">
        <v>0.79166666666666663</v>
      </c>
      <c r="G643" s="7">
        <f t="shared" si="27"/>
        <v>0.33333333333333331</v>
      </c>
      <c r="H643" s="7">
        <f t="shared" si="28"/>
        <v>0.125</v>
      </c>
      <c r="I643" t="str">
        <f>IFERROR(IF(INDEX('Attandance Tracker'!$D$3:$AH$50,MATCH($A643,'Attandance Tracker'!$A$3:$A$50,0),DAY($D643))="P","Present",IF(INDEX('Attandance Tracker'!$D$3:$AH$50,MATCH($A643,'Attandance Tracker'!$A$3:$A$50,0),DAY($D643))="A","Absent","Leave")),"")</f>
        <v>Present</v>
      </c>
    </row>
    <row r="644" spans="1:9" x14ac:dyDescent="0.25">
      <c r="A644">
        <v>1021</v>
      </c>
      <c r="B644" t="str">
        <f>_xlfn.IFNA(INDEX('Attandance Tracker'!$B$3:$B$30,MATCH($A644,'Attandance Tracker'!$A$3:$A$30,0)),"")</f>
        <v xml:space="preserve"> Akash</v>
      </c>
      <c r="C644" s="14" t="str">
        <f>_xlfn.IFNA(INDEX('Attandance Tracker'!$C$3:$C$30,MATCH($A644,'Attandance Tracker'!$A$3:$A$30,0)),"")</f>
        <v>HR</v>
      </c>
      <c r="D644" s="14">
        <v>21</v>
      </c>
      <c r="E644" s="7">
        <v>0.375</v>
      </c>
      <c r="F644" s="7">
        <v>0.83333333333333337</v>
      </c>
      <c r="G644" s="7">
        <f t="shared" si="27"/>
        <v>0.33333333333333331</v>
      </c>
      <c r="H644" s="7">
        <f t="shared" si="28"/>
        <v>0.12500000000000006</v>
      </c>
      <c r="I644" t="str">
        <f>IFERROR(IF(INDEX('Attandance Tracker'!$D$3:$AH$50,MATCH($A644,'Attandance Tracker'!$A$3:$A$50,0),DAY($D644))="P","Present",IF(INDEX('Attandance Tracker'!$D$3:$AH$50,MATCH($A644,'Attandance Tracker'!$A$3:$A$50,0),DAY($D644))="A","Absent","Leave")),"")</f>
        <v>Present</v>
      </c>
    </row>
    <row r="645" spans="1:9" x14ac:dyDescent="0.25">
      <c r="A645">
        <v>1021</v>
      </c>
      <c r="B645" t="str">
        <f>_xlfn.IFNA(INDEX('Attandance Tracker'!$B$3:$B$30,MATCH($A645,'Attandance Tracker'!$A$3:$A$30,0)),"")</f>
        <v xml:space="preserve"> Akash</v>
      </c>
      <c r="C645" s="14" t="str">
        <f>_xlfn.IFNA(INDEX('Attandance Tracker'!$C$3:$C$30,MATCH($A645,'Attandance Tracker'!$A$3:$A$30,0)),"")</f>
        <v>HR</v>
      </c>
      <c r="D645" s="14">
        <v>22</v>
      </c>
      <c r="E645" s="7">
        <v>0.375</v>
      </c>
      <c r="F645" s="7">
        <v>0.75</v>
      </c>
      <c r="G645" s="7">
        <f t="shared" ref="G645:G708" si="29">IF(I645="Present",MIN(F645-E645,8/24),IF(I645="Absent",8/24,0))</f>
        <v>0.33333333333333331</v>
      </c>
      <c r="H645" s="7">
        <f t="shared" ref="H645:H708" si="30">IF(I645="Present",MAX(0,F645-E645-8/24),0)</f>
        <v>4.1666666666666685E-2</v>
      </c>
      <c r="I645" t="str">
        <f>IFERROR(IF(INDEX('Attandance Tracker'!$D$3:$AH$50,MATCH($A645,'Attandance Tracker'!$A$3:$A$50,0),DAY($D645))="P","Present",IF(INDEX('Attandance Tracker'!$D$3:$AH$50,MATCH($A645,'Attandance Tracker'!$A$3:$A$50,0),DAY($D645))="A","Absent","Leave")),"")</f>
        <v>Present</v>
      </c>
    </row>
    <row r="646" spans="1:9" x14ac:dyDescent="0.25">
      <c r="A646">
        <v>1021</v>
      </c>
      <c r="B646" t="str">
        <f>_xlfn.IFNA(INDEX('Attandance Tracker'!$B$3:$B$30,MATCH($A646,'Attandance Tracker'!$A$3:$A$30,0)),"")</f>
        <v xml:space="preserve"> Akash</v>
      </c>
      <c r="C646" s="14" t="str">
        <f>_xlfn.IFNA(INDEX('Attandance Tracker'!$C$3:$C$30,MATCH($A646,'Attandance Tracker'!$A$3:$A$30,0)),"")</f>
        <v>HR</v>
      </c>
      <c r="D646" s="14">
        <v>23</v>
      </c>
      <c r="E646" s="7">
        <v>0.375</v>
      </c>
      <c r="F646" s="7">
        <v>0.83333333333333337</v>
      </c>
      <c r="G646" s="7">
        <f t="shared" si="29"/>
        <v>0.33333333333333331</v>
      </c>
      <c r="H646" s="7">
        <f t="shared" si="30"/>
        <v>0.12500000000000006</v>
      </c>
      <c r="I646" t="str">
        <f>IFERROR(IF(INDEX('Attandance Tracker'!$D$3:$AH$50,MATCH($A646,'Attandance Tracker'!$A$3:$A$50,0),DAY($D646))="P","Present",IF(INDEX('Attandance Tracker'!$D$3:$AH$50,MATCH($A646,'Attandance Tracker'!$A$3:$A$50,0),DAY($D646))="A","Absent","Leave")),"")</f>
        <v>Present</v>
      </c>
    </row>
    <row r="647" spans="1:9" x14ac:dyDescent="0.25">
      <c r="A647">
        <v>1021</v>
      </c>
      <c r="B647" t="str">
        <f>_xlfn.IFNA(INDEX('Attandance Tracker'!$B$3:$B$30,MATCH($A647,'Attandance Tracker'!$A$3:$A$30,0)),"")</f>
        <v xml:space="preserve"> Akash</v>
      </c>
      <c r="C647" s="14" t="str">
        <f>_xlfn.IFNA(INDEX('Attandance Tracker'!$C$3:$C$30,MATCH($A647,'Attandance Tracker'!$A$3:$A$30,0)),"")</f>
        <v>HR</v>
      </c>
      <c r="D647" s="14">
        <v>24</v>
      </c>
      <c r="E647" s="7">
        <v>0.33333333333333331</v>
      </c>
      <c r="F647" s="7">
        <v>0.83333333333333337</v>
      </c>
      <c r="G647" s="7">
        <f t="shared" si="29"/>
        <v>0.33333333333333331</v>
      </c>
      <c r="H647" s="7">
        <f t="shared" si="30"/>
        <v>0.16666666666666669</v>
      </c>
      <c r="I647" t="str">
        <f>IFERROR(IF(INDEX('Attandance Tracker'!$D$3:$AH$50,MATCH($A647,'Attandance Tracker'!$A$3:$A$50,0),DAY($D647))="P","Present",IF(INDEX('Attandance Tracker'!$D$3:$AH$50,MATCH($A647,'Attandance Tracker'!$A$3:$A$50,0),DAY($D647))="A","Absent","Leave")),"")</f>
        <v>Present</v>
      </c>
    </row>
    <row r="648" spans="1:9" x14ac:dyDescent="0.25">
      <c r="A648">
        <v>1021</v>
      </c>
      <c r="B648" t="str">
        <f>_xlfn.IFNA(INDEX('Attandance Tracker'!$B$3:$B$30,MATCH($A648,'Attandance Tracker'!$A$3:$A$30,0)),"")</f>
        <v xml:space="preserve"> Akash</v>
      </c>
      <c r="C648" s="14" t="str">
        <f>_xlfn.IFNA(INDEX('Attandance Tracker'!$C$3:$C$30,MATCH($A648,'Attandance Tracker'!$A$3:$A$30,0)),"")</f>
        <v>HR</v>
      </c>
      <c r="D648" s="14">
        <v>25</v>
      </c>
      <c r="E648" s="7">
        <v>0.33333333333333331</v>
      </c>
      <c r="F648" s="7">
        <v>0.79166666666666663</v>
      </c>
      <c r="G648" s="7">
        <f t="shared" si="29"/>
        <v>0.33333333333333331</v>
      </c>
      <c r="H648" s="7">
        <f t="shared" si="30"/>
        <v>0.125</v>
      </c>
      <c r="I648" t="str">
        <f>IFERROR(IF(INDEX('Attandance Tracker'!$D$3:$AH$50,MATCH($A648,'Attandance Tracker'!$A$3:$A$50,0),DAY($D648))="P","Present",IF(INDEX('Attandance Tracker'!$D$3:$AH$50,MATCH($A648,'Attandance Tracker'!$A$3:$A$50,0),DAY($D648))="A","Absent","Leave")),"")</f>
        <v>Present</v>
      </c>
    </row>
    <row r="649" spans="1:9" x14ac:dyDescent="0.25">
      <c r="A649">
        <v>1021</v>
      </c>
      <c r="B649" t="str">
        <f>_xlfn.IFNA(INDEX('Attandance Tracker'!$B$3:$B$30,MATCH($A649,'Attandance Tracker'!$A$3:$A$30,0)),"")</f>
        <v xml:space="preserve"> Akash</v>
      </c>
      <c r="C649" s="14" t="str">
        <f>_xlfn.IFNA(INDEX('Attandance Tracker'!$C$3:$C$30,MATCH($A649,'Attandance Tracker'!$A$3:$A$30,0)),"")</f>
        <v>HR</v>
      </c>
      <c r="D649" s="14">
        <v>26</v>
      </c>
      <c r="E649" s="7">
        <v>0.33333333333333331</v>
      </c>
      <c r="F649" s="7">
        <v>0.83333333333333337</v>
      </c>
      <c r="G649" s="7">
        <f t="shared" si="29"/>
        <v>0.33333333333333331</v>
      </c>
      <c r="H649" s="7">
        <f t="shared" si="30"/>
        <v>0.16666666666666669</v>
      </c>
      <c r="I649" t="str">
        <f>IFERROR(IF(INDEX('Attandance Tracker'!$D$3:$AH$50,MATCH($A649,'Attandance Tracker'!$A$3:$A$50,0),DAY($D649))="P","Present",IF(INDEX('Attandance Tracker'!$D$3:$AH$50,MATCH($A649,'Attandance Tracker'!$A$3:$A$50,0),DAY($D649))="A","Absent","Leave")),"")</f>
        <v>Present</v>
      </c>
    </row>
    <row r="650" spans="1:9" x14ac:dyDescent="0.25">
      <c r="A650">
        <v>1021</v>
      </c>
      <c r="B650" t="str">
        <f>_xlfn.IFNA(INDEX('Attandance Tracker'!$B$3:$B$30,MATCH($A650,'Attandance Tracker'!$A$3:$A$30,0)),"")</f>
        <v xml:space="preserve"> Akash</v>
      </c>
      <c r="C650" s="14" t="str">
        <f>_xlfn.IFNA(INDEX('Attandance Tracker'!$C$3:$C$30,MATCH($A650,'Attandance Tracker'!$A$3:$A$30,0)),"")</f>
        <v>HR</v>
      </c>
      <c r="D650" s="14">
        <v>27</v>
      </c>
      <c r="E650" s="7">
        <v>0.33333333333333331</v>
      </c>
      <c r="F650" s="7">
        <v>0.75</v>
      </c>
      <c r="G650" s="7">
        <f t="shared" si="29"/>
        <v>0.33333333333333331</v>
      </c>
      <c r="H650" s="7">
        <f t="shared" si="30"/>
        <v>8.333333333333337E-2</v>
      </c>
      <c r="I650" t="str">
        <f>IFERROR(IF(INDEX('Attandance Tracker'!$D$3:$AH$50,MATCH($A650,'Attandance Tracker'!$A$3:$A$50,0),DAY($D650))="P","Present",IF(INDEX('Attandance Tracker'!$D$3:$AH$50,MATCH($A650,'Attandance Tracker'!$A$3:$A$50,0),DAY($D650))="A","Absent","Leave")),"")</f>
        <v>Present</v>
      </c>
    </row>
    <row r="651" spans="1:9" x14ac:dyDescent="0.25">
      <c r="A651">
        <v>1021</v>
      </c>
      <c r="B651" t="str">
        <f>_xlfn.IFNA(INDEX('Attandance Tracker'!$B$3:$B$30,MATCH($A651,'Attandance Tracker'!$A$3:$A$30,0)),"")</f>
        <v xml:space="preserve"> Akash</v>
      </c>
      <c r="C651" s="14" t="str">
        <f>_xlfn.IFNA(INDEX('Attandance Tracker'!$C$3:$C$30,MATCH($A651,'Attandance Tracker'!$A$3:$A$30,0)),"")</f>
        <v>HR</v>
      </c>
      <c r="D651" s="14">
        <v>28</v>
      </c>
      <c r="E651" s="7">
        <v>0.33333333333333331</v>
      </c>
      <c r="F651" s="7">
        <v>0.83333333333333337</v>
      </c>
      <c r="G651" s="7">
        <f t="shared" si="29"/>
        <v>0.33333333333333331</v>
      </c>
      <c r="H651" s="7">
        <f t="shared" si="30"/>
        <v>0.16666666666666669</v>
      </c>
      <c r="I651" t="str">
        <f>IFERROR(IF(INDEX('Attandance Tracker'!$D$3:$AH$50,MATCH($A651,'Attandance Tracker'!$A$3:$A$50,0),DAY($D651))="P","Present",IF(INDEX('Attandance Tracker'!$D$3:$AH$50,MATCH($A651,'Attandance Tracker'!$A$3:$A$50,0),DAY($D651))="A","Absent","Leave")),"")</f>
        <v>Present</v>
      </c>
    </row>
    <row r="652" spans="1:9" x14ac:dyDescent="0.25">
      <c r="A652">
        <v>1021</v>
      </c>
      <c r="B652" t="str">
        <f>_xlfn.IFNA(INDEX('Attandance Tracker'!$B$3:$B$30,MATCH($A652,'Attandance Tracker'!$A$3:$A$30,0)),"")</f>
        <v xml:space="preserve"> Akash</v>
      </c>
      <c r="C652" s="14" t="str">
        <f>_xlfn.IFNA(INDEX('Attandance Tracker'!$C$3:$C$30,MATCH($A652,'Attandance Tracker'!$A$3:$A$30,0)),"")</f>
        <v>HR</v>
      </c>
      <c r="D652" s="14">
        <v>29</v>
      </c>
      <c r="E652" s="7">
        <v>0.33333333333333331</v>
      </c>
      <c r="F652" s="7">
        <v>0.83333333333333337</v>
      </c>
      <c r="G652" s="7">
        <f t="shared" si="29"/>
        <v>0.33333333333333331</v>
      </c>
      <c r="H652" s="7">
        <f t="shared" si="30"/>
        <v>0.16666666666666669</v>
      </c>
      <c r="I652" t="str">
        <f>IFERROR(IF(INDEX('Attandance Tracker'!$D$3:$AH$50,MATCH($A652,'Attandance Tracker'!$A$3:$A$50,0),DAY($D652))="P","Present",IF(INDEX('Attandance Tracker'!$D$3:$AH$50,MATCH($A652,'Attandance Tracker'!$A$3:$A$50,0),DAY($D652))="A","Absent","Leave")),"")</f>
        <v>Present</v>
      </c>
    </row>
    <row r="653" spans="1:9" x14ac:dyDescent="0.25">
      <c r="A653">
        <v>1021</v>
      </c>
      <c r="B653" t="str">
        <f>_xlfn.IFNA(INDEX('Attandance Tracker'!$B$3:$B$30,MATCH($A653,'Attandance Tracker'!$A$3:$A$30,0)),"")</f>
        <v xml:space="preserve"> Akash</v>
      </c>
      <c r="C653" s="14" t="str">
        <f>_xlfn.IFNA(INDEX('Attandance Tracker'!$C$3:$C$30,MATCH($A653,'Attandance Tracker'!$A$3:$A$30,0)),"")</f>
        <v>HR</v>
      </c>
      <c r="D653" s="14">
        <v>30</v>
      </c>
      <c r="E653" s="7">
        <v>0.33333333333333331</v>
      </c>
      <c r="F653" s="7">
        <v>0.83333333333333337</v>
      </c>
      <c r="G653" s="7">
        <f t="shared" si="29"/>
        <v>0.33333333333333331</v>
      </c>
      <c r="H653" s="7">
        <f t="shared" si="30"/>
        <v>0.16666666666666669</v>
      </c>
      <c r="I653" t="str">
        <f>IFERROR(IF(INDEX('Attandance Tracker'!$D$3:$AH$50,MATCH($A653,'Attandance Tracker'!$A$3:$A$50,0),DAY($D653))="P","Present",IF(INDEX('Attandance Tracker'!$D$3:$AH$50,MATCH($A653,'Attandance Tracker'!$A$3:$A$50,0),DAY($D653))="A","Absent","Leave")),"")</f>
        <v>Present</v>
      </c>
    </row>
    <row r="654" spans="1:9" x14ac:dyDescent="0.25">
      <c r="A654">
        <v>1021</v>
      </c>
      <c r="B654" t="str">
        <f>_xlfn.IFNA(INDEX('Attandance Tracker'!$B$3:$B$30,MATCH($A654,'Attandance Tracker'!$A$3:$A$30,0)),"")</f>
        <v xml:space="preserve"> Akash</v>
      </c>
      <c r="C654" s="14" t="str">
        <f>_xlfn.IFNA(INDEX('Attandance Tracker'!$C$3:$C$30,MATCH($A654,'Attandance Tracker'!$A$3:$A$30,0)),"")</f>
        <v>HR</v>
      </c>
      <c r="D654" s="14">
        <v>31</v>
      </c>
      <c r="E654" s="7">
        <v>0.375</v>
      </c>
      <c r="F654" s="7">
        <v>0.79166666666666663</v>
      </c>
      <c r="G654" s="7">
        <f t="shared" si="29"/>
        <v>0</v>
      </c>
      <c r="H654" s="7">
        <f t="shared" si="30"/>
        <v>0</v>
      </c>
      <c r="I654" t="str">
        <f>IFERROR(IF(INDEX('Attandance Tracker'!$D$3:$AH$50,MATCH($A654,'Attandance Tracker'!$A$3:$A$50,0),DAY($D654))="P","Present",IF(INDEX('Attandance Tracker'!$D$3:$AH$50,MATCH($A654,'Attandance Tracker'!$A$3:$A$50,0),DAY($D654))="A","Absent","Leave")),"")</f>
        <v>Leave</v>
      </c>
    </row>
    <row r="655" spans="1:9" x14ac:dyDescent="0.25">
      <c r="A655">
        <v>1022</v>
      </c>
      <c r="B655" t="str">
        <f>_xlfn.IFNA(INDEX('Attandance Tracker'!$B$3:$B$30,MATCH($A655,'Attandance Tracker'!$A$3:$A$30,0)),"")</f>
        <v xml:space="preserve"> Ritu</v>
      </c>
      <c r="C655" s="14" t="str">
        <f>_xlfn.IFNA(INDEX('Attandance Tracker'!$C$3:$C$30,MATCH($A655,'Attandance Tracker'!$A$3:$A$30,0)),"")</f>
        <v>Finance</v>
      </c>
      <c r="D655" s="14">
        <v>1</v>
      </c>
      <c r="E655" s="7">
        <v>0.375</v>
      </c>
      <c r="F655" s="7">
        <v>0.83333333333333337</v>
      </c>
      <c r="G655" s="7">
        <f t="shared" si="29"/>
        <v>0.33333333333333331</v>
      </c>
      <c r="H655" s="7">
        <f t="shared" si="30"/>
        <v>0.12500000000000006</v>
      </c>
      <c r="I655" t="str">
        <f>IFERROR(IF(INDEX('Attandance Tracker'!$D$3:$AH$50,MATCH($A655,'Attandance Tracker'!$A$3:$A$50,0),DAY($D655))="P","Present",IF(INDEX('Attandance Tracker'!$D$3:$AH$50,MATCH($A655,'Attandance Tracker'!$A$3:$A$50,0),DAY($D655))="A","Absent","Leave")),"")</f>
        <v>Present</v>
      </c>
    </row>
    <row r="656" spans="1:9" x14ac:dyDescent="0.25">
      <c r="A656">
        <v>1022</v>
      </c>
      <c r="B656" t="str">
        <f>_xlfn.IFNA(INDEX('Attandance Tracker'!$B$3:$B$30,MATCH($A656,'Attandance Tracker'!$A$3:$A$30,0)),"")</f>
        <v xml:space="preserve"> Ritu</v>
      </c>
      <c r="C656" s="14" t="str">
        <f>_xlfn.IFNA(INDEX('Attandance Tracker'!$C$3:$C$30,MATCH($A656,'Attandance Tracker'!$A$3:$A$30,0)),"")</f>
        <v>Finance</v>
      </c>
      <c r="D656" s="14">
        <v>2</v>
      </c>
      <c r="E656" s="7">
        <v>0.375</v>
      </c>
      <c r="F656" s="7">
        <v>0.75</v>
      </c>
      <c r="G656" s="7">
        <f t="shared" si="29"/>
        <v>0.33333333333333331</v>
      </c>
      <c r="H656" s="7">
        <f t="shared" si="30"/>
        <v>4.1666666666666685E-2</v>
      </c>
      <c r="I656" t="str">
        <f>IFERROR(IF(INDEX('Attandance Tracker'!$D$3:$AH$50,MATCH($A656,'Attandance Tracker'!$A$3:$A$50,0),DAY($D656))="P","Present",IF(INDEX('Attandance Tracker'!$D$3:$AH$50,MATCH($A656,'Attandance Tracker'!$A$3:$A$50,0),DAY($D656))="A","Absent","Leave")),"")</f>
        <v>Present</v>
      </c>
    </row>
    <row r="657" spans="1:9" x14ac:dyDescent="0.25">
      <c r="A657">
        <v>1022</v>
      </c>
      <c r="B657" t="str">
        <f>_xlfn.IFNA(INDEX('Attandance Tracker'!$B$3:$B$30,MATCH($A657,'Attandance Tracker'!$A$3:$A$30,0)),"")</f>
        <v xml:space="preserve"> Ritu</v>
      </c>
      <c r="C657" s="14" t="str">
        <f>_xlfn.IFNA(INDEX('Attandance Tracker'!$C$3:$C$30,MATCH($A657,'Attandance Tracker'!$A$3:$A$30,0)),"")</f>
        <v>Finance</v>
      </c>
      <c r="D657" s="14">
        <v>3</v>
      </c>
      <c r="E657" s="7">
        <v>0.375</v>
      </c>
      <c r="F657" s="7">
        <v>0.83333333333333337</v>
      </c>
      <c r="G657" s="7">
        <f t="shared" si="29"/>
        <v>0.33333333333333331</v>
      </c>
      <c r="H657" s="7">
        <f t="shared" si="30"/>
        <v>0.12500000000000006</v>
      </c>
      <c r="I657" t="str">
        <f>IFERROR(IF(INDEX('Attandance Tracker'!$D$3:$AH$50,MATCH($A657,'Attandance Tracker'!$A$3:$A$50,0),DAY($D657))="P","Present",IF(INDEX('Attandance Tracker'!$D$3:$AH$50,MATCH($A657,'Attandance Tracker'!$A$3:$A$50,0),DAY($D657))="A","Absent","Leave")),"")</f>
        <v>Present</v>
      </c>
    </row>
    <row r="658" spans="1:9" x14ac:dyDescent="0.25">
      <c r="A658">
        <v>1022</v>
      </c>
      <c r="B658" t="str">
        <f>_xlfn.IFNA(INDEX('Attandance Tracker'!$B$3:$B$30,MATCH($A658,'Attandance Tracker'!$A$3:$A$30,0)),"")</f>
        <v xml:space="preserve"> Ritu</v>
      </c>
      <c r="C658" s="14" t="str">
        <f>_xlfn.IFNA(INDEX('Attandance Tracker'!$C$3:$C$30,MATCH($A658,'Attandance Tracker'!$A$3:$A$30,0)),"")</f>
        <v>Finance</v>
      </c>
      <c r="D658" s="14">
        <v>4</v>
      </c>
      <c r="E658" s="7">
        <v>0.33333333333333331</v>
      </c>
      <c r="F658" s="7">
        <v>0.83333333333333337</v>
      </c>
      <c r="G658" s="7">
        <f t="shared" si="29"/>
        <v>0.33333333333333331</v>
      </c>
      <c r="H658" s="7">
        <f t="shared" si="30"/>
        <v>0.16666666666666669</v>
      </c>
      <c r="I658" t="str">
        <f>IFERROR(IF(INDEX('Attandance Tracker'!$D$3:$AH$50,MATCH($A658,'Attandance Tracker'!$A$3:$A$50,0),DAY($D658))="P","Present",IF(INDEX('Attandance Tracker'!$D$3:$AH$50,MATCH($A658,'Attandance Tracker'!$A$3:$A$50,0),DAY($D658))="A","Absent","Leave")),"")</f>
        <v>Present</v>
      </c>
    </row>
    <row r="659" spans="1:9" x14ac:dyDescent="0.25">
      <c r="A659">
        <v>1022</v>
      </c>
      <c r="B659" t="str">
        <f>_xlfn.IFNA(INDEX('Attandance Tracker'!$B$3:$B$30,MATCH($A659,'Attandance Tracker'!$A$3:$A$30,0)),"")</f>
        <v xml:space="preserve"> Ritu</v>
      </c>
      <c r="C659" s="14" t="str">
        <f>_xlfn.IFNA(INDEX('Attandance Tracker'!$C$3:$C$30,MATCH($A659,'Attandance Tracker'!$A$3:$A$30,0)),"")</f>
        <v>Finance</v>
      </c>
      <c r="D659" s="14">
        <v>5</v>
      </c>
      <c r="E659" s="7">
        <v>0.33333333333333331</v>
      </c>
      <c r="F659" s="7">
        <v>0.79166666666666663</v>
      </c>
      <c r="G659" s="7">
        <f t="shared" si="29"/>
        <v>0.33333333333333331</v>
      </c>
      <c r="H659" s="7">
        <f t="shared" si="30"/>
        <v>0.125</v>
      </c>
      <c r="I659" t="str">
        <f>IFERROR(IF(INDEX('Attandance Tracker'!$D$3:$AH$50,MATCH($A659,'Attandance Tracker'!$A$3:$A$50,0),DAY($D659))="P","Present",IF(INDEX('Attandance Tracker'!$D$3:$AH$50,MATCH($A659,'Attandance Tracker'!$A$3:$A$50,0),DAY($D659))="A","Absent","Leave")),"")</f>
        <v>Present</v>
      </c>
    </row>
    <row r="660" spans="1:9" x14ac:dyDescent="0.25">
      <c r="A660">
        <v>1022</v>
      </c>
      <c r="B660" t="str">
        <f>_xlfn.IFNA(INDEX('Attandance Tracker'!$B$3:$B$30,MATCH($A660,'Attandance Tracker'!$A$3:$A$30,0)),"")</f>
        <v xml:space="preserve"> Ritu</v>
      </c>
      <c r="C660" s="14" t="str">
        <f>_xlfn.IFNA(INDEX('Attandance Tracker'!$C$3:$C$30,MATCH($A660,'Attandance Tracker'!$A$3:$A$30,0)),"")</f>
        <v>Finance</v>
      </c>
      <c r="D660" s="14">
        <v>6</v>
      </c>
      <c r="E660" s="7">
        <v>0.33333333333333331</v>
      </c>
      <c r="F660" s="7">
        <v>0.83333333333333337</v>
      </c>
      <c r="G660" s="7">
        <f t="shared" si="29"/>
        <v>0.33333333333333331</v>
      </c>
      <c r="H660" s="7">
        <f t="shared" si="30"/>
        <v>0.16666666666666669</v>
      </c>
      <c r="I660" t="str">
        <f>IFERROR(IF(INDEX('Attandance Tracker'!$D$3:$AH$50,MATCH($A660,'Attandance Tracker'!$A$3:$A$50,0),DAY($D660))="P","Present",IF(INDEX('Attandance Tracker'!$D$3:$AH$50,MATCH($A660,'Attandance Tracker'!$A$3:$A$50,0),DAY($D660))="A","Absent","Leave")),"")</f>
        <v>Present</v>
      </c>
    </row>
    <row r="661" spans="1:9" x14ac:dyDescent="0.25">
      <c r="A661">
        <v>1022</v>
      </c>
      <c r="B661" t="str">
        <f>_xlfn.IFNA(INDEX('Attandance Tracker'!$B$3:$B$30,MATCH($A661,'Attandance Tracker'!$A$3:$A$30,0)),"")</f>
        <v xml:space="preserve"> Ritu</v>
      </c>
      <c r="C661" s="14" t="str">
        <f>_xlfn.IFNA(INDEX('Attandance Tracker'!$C$3:$C$30,MATCH($A661,'Attandance Tracker'!$A$3:$A$30,0)),"")</f>
        <v>Finance</v>
      </c>
      <c r="D661" s="14">
        <v>7</v>
      </c>
      <c r="E661" s="7">
        <v>0.33333333333333331</v>
      </c>
      <c r="F661" s="7">
        <v>0.75</v>
      </c>
      <c r="G661" s="7">
        <f t="shared" si="29"/>
        <v>0.33333333333333331</v>
      </c>
      <c r="H661" s="7">
        <f t="shared" si="30"/>
        <v>8.333333333333337E-2</v>
      </c>
      <c r="I661" t="str">
        <f>IFERROR(IF(INDEX('Attandance Tracker'!$D$3:$AH$50,MATCH($A661,'Attandance Tracker'!$A$3:$A$50,0),DAY($D661))="P","Present",IF(INDEX('Attandance Tracker'!$D$3:$AH$50,MATCH($A661,'Attandance Tracker'!$A$3:$A$50,0),DAY($D661))="A","Absent","Leave")),"")</f>
        <v>Present</v>
      </c>
    </row>
    <row r="662" spans="1:9" x14ac:dyDescent="0.25">
      <c r="A662">
        <v>1022</v>
      </c>
      <c r="B662" t="str">
        <f>_xlfn.IFNA(INDEX('Attandance Tracker'!$B$3:$B$30,MATCH($A662,'Attandance Tracker'!$A$3:$A$30,0)),"")</f>
        <v xml:space="preserve"> Ritu</v>
      </c>
      <c r="C662" s="14" t="str">
        <f>_xlfn.IFNA(INDEX('Attandance Tracker'!$C$3:$C$30,MATCH($A662,'Attandance Tracker'!$A$3:$A$30,0)),"")</f>
        <v>Finance</v>
      </c>
      <c r="D662" s="14">
        <v>8</v>
      </c>
      <c r="E662" s="7">
        <v>0.33333333333333331</v>
      </c>
      <c r="F662" s="7">
        <v>0.79166666666666663</v>
      </c>
      <c r="G662" s="7">
        <f t="shared" si="29"/>
        <v>0.33333333333333331</v>
      </c>
      <c r="H662" s="7">
        <f t="shared" si="30"/>
        <v>0.125</v>
      </c>
      <c r="I662" t="str">
        <f>IFERROR(IF(INDEX('Attandance Tracker'!$D$3:$AH$50,MATCH($A662,'Attandance Tracker'!$A$3:$A$50,0),DAY($D662))="P","Present",IF(INDEX('Attandance Tracker'!$D$3:$AH$50,MATCH($A662,'Attandance Tracker'!$A$3:$A$50,0),DAY($D662))="A","Absent","Leave")),"")</f>
        <v>Present</v>
      </c>
    </row>
    <row r="663" spans="1:9" x14ac:dyDescent="0.25">
      <c r="A663">
        <v>1022</v>
      </c>
      <c r="B663" t="str">
        <f>_xlfn.IFNA(INDEX('Attandance Tracker'!$B$3:$B$30,MATCH($A663,'Attandance Tracker'!$A$3:$A$30,0)),"")</f>
        <v xml:space="preserve"> Ritu</v>
      </c>
      <c r="C663" s="14" t="str">
        <f>_xlfn.IFNA(INDEX('Attandance Tracker'!$C$3:$C$30,MATCH($A663,'Attandance Tracker'!$A$3:$A$30,0)),"")</f>
        <v>Finance</v>
      </c>
      <c r="D663" s="14">
        <v>9</v>
      </c>
      <c r="E663" s="7">
        <v>0.33333333333333331</v>
      </c>
      <c r="F663" s="7">
        <v>0.83333333333333337</v>
      </c>
      <c r="G663" s="7">
        <f t="shared" si="29"/>
        <v>0.33333333333333331</v>
      </c>
      <c r="H663" s="7">
        <f t="shared" si="30"/>
        <v>0.16666666666666669</v>
      </c>
      <c r="I663" t="str">
        <f>IFERROR(IF(INDEX('Attandance Tracker'!$D$3:$AH$50,MATCH($A663,'Attandance Tracker'!$A$3:$A$50,0),DAY($D663))="P","Present",IF(INDEX('Attandance Tracker'!$D$3:$AH$50,MATCH($A663,'Attandance Tracker'!$A$3:$A$50,0),DAY($D663))="A","Absent","Leave")),"")</f>
        <v>Present</v>
      </c>
    </row>
    <row r="664" spans="1:9" x14ac:dyDescent="0.25">
      <c r="A664">
        <v>1022</v>
      </c>
      <c r="B664" t="str">
        <f>_xlfn.IFNA(INDEX('Attandance Tracker'!$B$3:$B$30,MATCH($A664,'Attandance Tracker'!$A$3:$A$30,0)),"")</f>
        <v xml:space="preserve"> Ritu</v>
      </c>
      <c r="C664" s="14" t="str">
        <f>_xlfn.IFNA(INDEX('Attandance Tracker'!$C$3:$C$30,MATCH($A664,'Attandance Tracker'!$A$3:$A$30,0)),"")</f>
        <v>Finance</v>
      </c>
      <c r="D664" s="14">
        <v>10</v>
      </c>
      <c r="E664" s="7">
        <v>0.33333333333333331</v>
      </c>
      <c r="F664" s="7">
        <v>0.75</v>
      </c>
      <c r="G664" s="7">
        <f t="shared" si="29"/>
        <v>0.33333333333333331</v>
      </c>
      <c r="H664" s="7">
        <f t="shared" si="30"/>
        <v>8.333333333333337E-2</v>
      </c>
      <c r="I664" t="str">
        <f>IFERROR(IF(INDEX('Attandance Tracker'!$D$3:$AH$50,MATCH($A664,'Attandance Tracker'!$A$3:$A$50,0),DAY($D664))="P","Present",IF(INDEX('Attandance Tracker'!$D$3:$AH$50,MATCH($A664,'Attandance Tracker'!$A$3:$A$50,0),DAY($D664))="A","Absent","Leave")),"")</f>
        <v>Present</v>
      </c>
    </row>
    <row r="665" spans="1:9" x14ac:dyDescent="0.25">
      <c r="A665">
        <v>1022</v>
      </c>
      <c r="B665" t="str">
        <f>_xlfn.IFNA(INDEX('Attandance Tracker'!$B$3:$B$30,MATCH($A665,'Attandance Tracker'!$A$3:$A$30,0)),"")</f>
        <v xml:space="preserve"> Ritu</v>
      </c>
      <c r="C665" s="14" t="str">
        <f>_xlfn.IFNA(INDEX('Attandance Tracker'!$C$3:$C$30,MATCH($A665,'Attandance Tracker'!$A$3:$A$30,0)),"")</f>
        <v>Finance</v>
      </c>
      <c r="D665" s="14">
        <v>11</v>
      </c>
      <c r="E665" s="7">
        <v>0.375</v>
      </c>
      <c r="F665" s="7">
        <v>0.83333333333333337</v>
      </c>
      <c r="G665" s="7">
        <f t="shared" si="29"/>
        <v>0.33333333333333331</v>
      </c>
      <c r="H665" s="7">
        <f t="shared" si="30"/>
        <v>0.12500000000000006</v>
      </c>
      <c r="I665" t="str">
        <f>IFERROR(IF(INDEX('Attandance Tracker'!$D$3:$AH$50,MATCH($A665,'Attandance Tracker'!$A$3:$A$50,0),DAY($D665))="P","Present",IF(INDEX('Attandance Tracker'!$D$3:$AH$50,MATCH($A665,'Attandance Tracker'!$A$3:$A$50,0),DAY($D665))="A","Absent","Leave")),"")</f>
        <v>Present</v>
      </c>
    </row>
    <row r="666" spans="1:9" x14ac:dyDescent="0.25">
      <c r="A666">
        <v>1022</v>
      </c>
      <c r="B666" t="str">
        <f>_xlfn.IFNA(INDEX('Attandance Tracker'!$B$3:$B$30,MATCH($A666,'Attandance Tracker'!$A$3:$A$30,0)),"")</f>
        <v xml:space="preserve"> Ritu</v>
      </c>
      <c r="C666" s="14" t="str">
        <f>_xlfn.IFNA(INDEX('Attandance Tracker'!$C$3:$C$30,MATCH($A666,'Attandance Tracker'!$A$3:$A$30,0)),"")</f>
        <v>Finance</v>
      </c>
      <c r="D666" s="14">
        <v>12</v>
      </c>
      <c r="E666" s="7">
        <v>0.375</v>
      </c>
      <c r="F666" s="7">
        <v>0.83333333333333337</v>
      </c>
      <c r="G666" s="7">
        <f t="shared" si="29"/>
        <v>0.33333333333333331</v>
      </c>
      <c r="H666" s="7">
        <f t="shared" si="30"/>
        <v>0.12500000000000006</v>
      </c>
      <c r="I666" t="str">
        <f>IFERROR(IF(INDEX('Attandance Tracker'!$D$3:$AH$50,MATCH($A666,'Attandance Tracker'!$A$3:$A$50,0),DAY($D666))="P","Present",IF(INDEX('Attandance Tracker'!$D$3:$AH$50,MATCH($A666,'Attandance Tracker'!$A$3:$A$50,0),DAY($D666))="A","Absent","Leave")),"")</f>
        <v>Present</v>
      </c>
    </row>
    <row r="667" spans="1:9" x14ac:dyDescent="0.25">
      <c r="A667">
        <v>1022</v>
      </c>
      <c r="B667" t="str">
        <f>_xlfn.IFNA(INDEX('Attandance Tracker'!$B$3:$B$30,MATCH($A667,'Attandance Tracker'!$A$3:$A$30,0)),"")</f>
        <v xml:space="preserve"> Ritu</v>
      </c>
      <c r="C667" s="14" t="str">
        <f>_xlfn.IFNA(INDEX('Attandance Tracker'!$C$3:$C$30,MATCH($A667,'Attandance Tracker'!$A$3:$A$30,0)),"")</f>
        <v>Finance</v>
      </c>
      <c r="D667" s="14">
        <v>13</v>
      </c>
      <c r="E667" s="7">
        <v>0.33333333333333331</v>
      </c>
      <c r="F667" s="7">
        <v>0.79166666666666663</v>
      </c>
      <c r="G667" s="7">
        <f t="shared" si="29"/>
        <v>0.33333333333333331</v>
      </c>
      <c r="H667" s="7">
        <f t="shared" si="30"/>
        <v>0.125</v>
      </c>
      <c r="I667" t="str">
        <f>IFERROR(IF(INDEX('Attandance Tracker'!$D$3:$AH$50,MATCH($A667,'Attandance Tracker'!$A$3:$A$50,0),DAY($D667))="P","Present",IF(INDEX('Attandance Tracker'!$D$3:$AH$50,MATCH($A667,'Attandance Tracker'!$A$3:$A$50,0),DAY($D667))="A","Absent","Leave")),"")</f>
        <v>Present</v>
      </c>
    </row>
    <row r="668" spans="1:9" x14ac:dyDescent="0.25">
      <c r="A668">
        <v>1022</v>
      </c>
      <c r="B668" t="str">
        <f>_xlfn.IFNA(INDEX('Attandance Tracker'!$B$3:$B$30,MATCH($A668,'Attandance Tracker'!$A$3:$A$30,0)),"")</f>
        <v xml:space="preserve"> Ritu</v>
      </c>
      <c r="C668" s="14" t="str">
        <f>_xlfn.IFNA(INDEX('Attandance Tracker'!$C$3:$C$30,MATCH($A668,'Attandance Tracker'!$A$3:$A$30,0)),"")</f>
        <v>Finance</v>
      </c>
      <c r="D668" s="14">
        <v>14</v>
      </c>
      <c r="E668" s="7">
        <v>0.375</v>
      </c>
      <c r="F668" s="7">
        <v>0.83333333333333337</v>
      </c>
      <c r="G668" s="7">
        <f t="shared" si="29"/>
        <v>0.33333333333333331</v>
      </c>
      <c r="H668" s="7">
        <f t="shared" si="30"/>
        <v>0.12500000000000006</v>
      </c>
      <c r="I668" t="str">
        <f>IFERROR(IF(INDEX('Attandance Tracker'!$D$3:$AH$50,MATCH($A668,'Attandance Tracker'!$A$3:$A$50,0),DAY($D668))="P","Present",IF(INDEX('Attandance Tracker'!$D$3:$AH$50,MATCH($A668,'Attandance Tracker'!$A$3:$A$50,0),DAY($D668))="A","Absent","Leave")),"")</f>
        <v>Present</v>
      </c>
    </row>
    <row r="669" spans="1:9" x14ac:dyDescent="0.25">
      <c r="A669">
        <v>1022</v>
      </c>
      <c r="B669" t="str">
        <f>_xlfn.IFNA(INDEX('Attandance Tracker'!$B$3:$B$30,MATCH($A669,'Attandance Tracker'!$A$3:$A$30,0)),"")</f>
        <v xml:space="preserve"> Ritu</v>
      </c>
      <c r="C669" s="14" t="str">
        <f>_xlfn.IFNA(INDEX('Attandance Tracker'!$C$3:$C$30,MATCH($A669,'Attandance Tracker'!$A$3:$A$30,0)),"")</f>
        <v>Finance</v>
      </c>
      <c r="D669" s="14">
        <v>15</v>
      </c>
      <c r="E669" s="7">
        <v>0.375</v>
      </c>
      <c r="F669" s="7">
        <v>0.75</v>
      </c>
      <c r="G669" s="7">
        <f t="shared" si="29"/>
        <v>0.33333333333333331</v>
      </c>
      <c r="H669" s="7">
        <f t="shared" si="30"/>
        <v>4.1666666666666685E-2</v>
      </c>
      <c r="I669" t="str">
        <f>IFERROR(IF(INDEX('Attandance Tracker'!$D$3:$AH$50,MATCH($A669,'Attandance Tracker'!$A$3:$A$50,0),DAY($D669))="P","Present",IF(INDEX('Attandance Tracker'!$D$3:$AH$50,MATCH($A669,'Attandance Tracker'!$A$3:$A$50,0),DAY($D669))="A","Absent","Leave")),"")</f>
        <v>Present</v>
      </c>
    </row>
    <row r="670" spans="1:9" x14ac:dyDescent="0.25">
      <c r="A670">
        <v>1022</v>
      </c>
      <c r="B670" t="str">
        <f>_xlfn.IFNA(INDEX('Attandance Tracker'!$B$3:$B$30,MATCH($A670,'Attandance Tracker'!$A$3:$A$30,0)),"")</f>
        <v xml:space="preserve"> Ritu</v>
      </c>
      <c r="C670" s="14" t="str">
        <f>_xlfn.IFNA(INDEX('Attandance Tracker'!$C$3:$C$30,MATCH($A670,'Attandance Tracker'!$A$3:$A$30,0)),"")</f>
        <v>Finance</v>
      </c>
      <c r="D670" s="14">
        <v>16</v>
      </c>
      <c r="E670" s="7">
        <v>0.375</v>
      </c>
      <c r="F670" s="7">
        <v>0.83333333333333337</v>
      </c>
      <c r="G670" s="7">
        <f t="shared" si="29"/>
        <v>0.33333333333333331</v>
      </c>
      <c r="H670" s="7">
        <f t="shared" si="30"/>
        <v>0.12500000000000006</v>
      </c>
      <c r="I670" t="str">
        <f>IFERROR(IF(INDEX('Attandance Tracker'!$D$3:$AH$50,MATCH($A670,'Attandance Tracker'!$A$3:$A$50,0),DAY($D670))="P","Present",IF(INDEX('Attandance Tracker'!$D$3:$AH$50,MATCH($A670,'Attandance Tracker'!$A$3:$A$50,0),DAY($D670))="A","Absent","Leave")),"")</f>
        <v>Present</v>
      </c>
    </row>
    <row r="671" spans="1:9" x14ac:dyDescent="0.25">
      <c r="A671">
        <v>1022</v>
      </c>
      <c r="B671" t="str">
        <f>_xlfn.IFNA(INDEX('Attandance Tracker'!$B$3:$B$30,MATCH($A671,'Attandance Tracker'!$A$3:$A$30,0)),"")</f>
        <v xml:space="preserve"> Ritu</v>
      </c>
      <c r="C671" s="14" t="str">
        <f>_xlfn.IFNA(INDEX('Attandance Tracker'!$C$3:$C$30,MATCH($A671,'Attandance Tracker'!$A$3:$A$30,0)),"")</f>
        <v>Finance</v>
      </c>
      <c r="D671" s="14">
        <v>17</v>
      </c>
      <c r="E671" s="7">
        <v>0.33333333333333331</v>
      </c>
      <c r="F671" s="7">
        <v>0.83333333333333337</v>
      </c>
      <c r="G671" s="7">
        <f t="shared" si="29"/>
        <v>0.33333333333333331</v>
      </c>
      <c r="H671" s="7">
        <f t="shared" si="30"/>
        <v>0.16666666666666669</v>
      </c>
      <c r="I671" t="str">
        <f>IFERROR(IF(INDEX('Attandance Tracker'!$D$3:$AH$50,MATCH($A671,'Attandance Tracker'!$A$3:$A$50,0),DAY($D671))="P","Present",IF(INDEX('Attandance Tracker'!$D$3:$AH$50,MATCH($A671,'Attandance Tracker'!$A$3:$A$50,0),DAY($D671))="A","Absent","Leave")),"")</f>
        <v>Present</v>
      </c>
    </row>
    <row r="672" spans="1:9" x14ac:dyDescent="0.25">
      <c r="A672">
        <v>1022</v>
      </c>
      <c r="B672" t="str">
        <f>_xlfn.IFNA(INDEX('Attandance Tracker'!$B$3:$B$30,MATCH($A672,'Attandance Tracker'!$A$3:$A$30,0)),"")</f>
        <v xml:space="preserve"> Ritu</v>
      </c>
      <c r="C672" s="14" t="str">
        <f>_xlfn.IFNA(INDEX('Attandance Tracker'!$C$3:$C$30,MATCH($A672,'Attandance Tracker'!$A$3:$A$30,0)),"")</f>
        <v>Finance</v>
      </c>
      <c r="D672" s="14">
        <v>18</v>
      </c>
      <c r="E672" s="7">
        <v>0.33333333333333331</v>
      </c>
      <c r="F672" s="7">
        <v>0.79166666666666663</v>
      </c>
      <c r="G672" s="7">
        <f t="shared" si="29"/>
        <v>0.33333333333333331</v>
      </c>
      <c r="H672" s="7">
        <f t="shared" si="30"/>
        <v>0.125</v>
      </c>
      <c r="I672" t="str">
        <f>IFERROR(IF(INDEX('Attandance Tracker'!$D$3:$AH$50,MATCH($A672,'Attandance Tracker'!$A$3:$A$50,0),DAY($D672))="P","Present",IF(INDEX('Attandance Tracker'!$D$3:$AH$50,MATCH($A672,'Attandance Tracker'!$A$3:$A$50,0),DAY($D672))="A","Absent","Leave")),"")</f>
        <v>Present</v>
      </c>
    </row>
    <row r="673" spans="1:9" x14ac:dyDescent="0.25">
      <c r="A673">
        <v>1022</v>
      </c>
      <c r="B673" t="str">
        <f>_xlfn.IFNA(INDEX('Attandance Tracker'!$B$3:$B$30,MATCH($A673,'Attandance Tracker'!$A$3:$A$30,0)),"")</f>
        <v xml:space="preserve"> Ritu</v>
      </c>
      <c r="C673" s="14" t="str">
        <f>_xlfn.IFNA(INDEX('Attandance Tracker'!$C$3:$C$30,MATCH($A673,'Attandance Tracker'!$A$3:$A$30,0)),"")</f>
        <v>Finance</v>
      </c>
      <c r="D673" s="14">
        <v>19</v>
      </c>
      <c r="E673" s="7">
        <v>0.375</v>
      </c>
      <c r="F673" s="7">
        <v>0.83333333333333337</v>
      </c>
      <c r="G673" s="7">
        <f t="shared" si="29"/>
        <v>0.33333333333333331</v>
      </c>
      <c r="H673" s="7">
        <f t="shared" si="30"/>
        <v>0.12500000000000006</v>
      </c>
      <c r="I673" t="str">
        <f>IFERROR(IF(INDEX('Attandance Tracker'!$D$3:$AH$50,MATCH($A673,'Attandance Tracker'!$A$3:$A$50,0),DAY($D673))="P","Present",IF(INDEX('Attandance Tracker'!$D$3:$AH$50,MATCH($A673,'Attandance Tracker'!$A$3:$A$50,0),DAY($D673))="A","Absent","Leave")),"")</f>
        <v>Present</v>
      </c>
    </row>
    <row r="674" spans="1:9" x14ac:dyDescent="0.25">
      <c r="A674">
        <v>1022</v>
      </c>
      <c r="B674" t="str">
        <f>_xlfn.IFNA(INDEX('Attandance Tracker'!$B$3:$B$30,MATCH($A674,'Attandance Tracker'!$A$3:$A$30,0)),"")</f>
        <v xml:space="preserve"> Ritu</v>
      </c>
      <c r="C674" s="14" t="str">
        <f>_xlfn.IFNA(INDEX('Attandance Tracker'!$C$3:$C$30,MATCH($A674,'Attandance Tracker'!$A$3:$A$30,0)),"")</f>
        <v>Finance</v>
      </c>
      <c r="D674" s="14">
        <v>20</v>
      </c>
      <c r="E674" s="7">
        <v>0.375</v>
      </c>
      <c r="F674" s="7">
        <v>0.75</v>
      </c>
      <c r="G674" s="7">
        <f t="shared" si="29"/>
        <v>0.33333333333333331</v>
      </c>
      <c r="H674" s="7">
        <f t="shared" si="30"/>
        <v>4.1666666666666685E-2</v>
      </c>
      <c r="I674" t="str">
        <f>IFERROR(IF(INDEX('Attandance Tracker'!$D$3:$AH$50,MATCH($A674,'Attandance Tracker'!$A$3:$A$50,0),DAY($D674))="P","Present",IF(INDEX('Attandance Tracker'!$D$3:$AH$50,MATCH($A674,'Attandance Tracker'!$A$3:$A$50,0),DAY($D674))="A","Absent","Leave")),"")</f>
        <v>Present</v>
      </c>
    </row>
    <row r="675" spans="1:9" x14ac:dyDescent="0.25">
      <c r="A675">
        <v>1022</v>
      </c>
      <c r="B675" t="str">
        <f>_xlfn.IFNA(INDEX('Attandance Tracker'!$B$3:$B$30,MATCH($A675,'Attandance Tracker'!$A$3:$A$30,0)),"")</f>
        <v xml:space="preserve"> Ritu</v>
      </c>
      <c r="C675" s="14" t="str">
        <f>_xlfn.IFNA(INDEX('Attandance Tracker'!$C$3:$C$30,MATCH($A675,'Attandance Tracker'!$A$3:$A$30,0)),"")</f>
        <v>Finance</v>
      </c>
      <c r="D675" s="14">
        <v>21</v>
      </c>
      <c r="E675" s="7">
        <v>0.375</v>
      </c>
      <c r="F675" s="7">
        <v>0.83333333333333337</v>
      </c>
      <c r="G675" s="7">
        <f t="shared" si="29"/>
        <v>0.33333333333333331</v>
      </c>
      <c r="H675" s="7">
        <f t="shared" si="30"/>
        <v>0.12500000000000006</v>
      </c>
      <c r="I675" t="str">
        <f>IFERROR(IF(INDEX('Attandance Tracker'!$D$3:$AH$50,MATCH($A675,'Attandance Tracker'!$A$3:$A$50,0),DAY($D675))="P","Present",IF(INDEX('Attandance Tracker'!$D$3:$AH$50,MATCH($A675,'Attandance Tracker'!$A$3:$A$50,0),DAY($D675))="A","Absent","Leave")),"")</f>
        <v>Present</v>
      </c>
    </row>
    <row r="676" spans="1:9" x14ac:dyDescent="0.25">
      <c r="A676">
        <v>1022</v>
      </c>
      <c r="B676" t="str">
        <f>_xlfn.IFNA(INDEX('Attandance Tracker'!$B$3:$B$30,MATCH($A676,'Attandance Tracker'!$A$3:$A$30,0)),"")</f>
        <v xml:space="preserve"> Ritu</v>
      </c>
      <c r="C676" s="14" t="str">
        <f>_xlfn.IFNA(INDEX('Attandance Tracker'!$C$3:$C$30,MATCH($A676,'Attandance Tracker'!$A$3:$A$30,0)),"")</f>
        <v>Finance</v>
      </c>
      <c r="D676" s="14">
        <v>22</v>
      </c>
      <c r="E676" s="7">
        <v>0.33333333333333331</v>
      </c>
      <c r="F676" s="7">
        <v>0.83333333333333337</v>
      </c>
      <c r="G676" s="7">
        <f t="shared" si="29"/>
        <v>0.33333333333333331</v>
      </c>
      <c r="H676" s="7">
        <f t="shared" si="30"/>
        <v>0.16666666666666669</v>
      </c>
      <c r="I676" t="str">
        <f>IFERROR(IF(INDEX('Attandance Tracker'!$D$3:$AH$50,MATCH($A676,'Attandance Tracker'!$A$3:$A$50,0),DAY($D676))="P","Present",IF(INDEX('Attandance Tracker'!$D$3:$AH$50,MATCH($A676,'Attandance Tracker'!$A$3:$A$50,0),DAY($D676))="A","Absent","Leave")),"")</f>
        <v>Present</v>
      </c>
    </row>
    <row r="677" spans="1:9" x14ac:dyDescent="0.25">
      <c r="A677">
        <v>1022</v>
      </c>
      <c r="B677" t="str">
        <f>_xlfn.IFNA(INDEX('Attandance Tracker'!$B$3:$B$30,MATCH($A677,'Attandance Tracker'!$A$3:$A$30,0)),"")</f>
        <v xml:space="preserve"> Ritu</v>
      </c>
      <c r="C677" s="14" t="str">
        <f>_xlfn.IFNA(INDEX('Attandance Tracker'!$C$3:$C$30,MATCH($A677,'Attandance Tracker'!$A$3:$A$30,0)),"")</f>
        <v>Finance</v>
      </c>
      <c r="D677" s="14">
        <v>23</v>
      </c>
      <c r="E677" s="7">
        <v>0.33333333333333331</v>
      </c>
      <c r="F677" s="7">
        <v>0.83333333333333337</v>
      </c>
      <c r="G677" s="7">
        <f t="shared" si="29"/>
        <v>0.33333333333333331</v>
      </c>
      <c r="H677" s="7">
        <f t="shared" si="30"/>
        <v>0.16666666666666669</v>
      </c>
      <c r="I677" t="str">
        <f>IFERROR(IF(INDEX('Attandance Tracker'!$D$3:$AH$50,MATCH($A677,'Attandance Tracker'!$A$3:$A$50,0),DAY($D677))="P","Present",IF(INDEX('Attandance Tracker'!$D$3:$AH$50,MATCH($A677,'Attandance Tracker'!$A$3:$A$50,0),DAY($D677))="A","Absent","Leave")),"")</f>
        <v>Present</v>
      </c>
    </row>
    <row r="678" spans="1:9" x14ac:dyDescent="0.25">
      <c r="A678">
        <v>1022</v>
      </c>
      <c r="B678" t="str">
        <f>_xlfn.IFNA(INDEX('Attandance Tracker'!$B$3:$B$30,MATCH($A678,'Attandance Tracker'!$A$3:$A$30,0)),"")</f>
        <v xml:space="preserve"> Ritu</v>
      </c>
      <c r="C678" s="14" t="str">
        <f>_xlfn.IFNA(INDEX('Attandance Tracker'!$C$3:$C$30,MATCH($A678,'Attandance Tracker'!$A$3:$A$30,0)),"")</f>
        <v>Finance</v>
      </c>
      <c r="D678" s="14">
        <v>24</v>
      </c>
      <c r="E678" s="7">
        <v>0.33333333333333331</v>
      </c>
      <c r="F678" s="7">
        <v>0.79166666666666663</v>
      </c>
      <c r="G678" s="7">
        <f t="shared" si="29"/>
        <v>0.33333333333333331</v>
      </c>
      <c r="H678" s="7">
        <f t="shared" si="30"/>
        <v>0.125</v>
      </c>
      <c r="I678" t="str">
        <f>IFERROR(IF(INDEX('Attandance Tracker'!$D$3:$AH$50,MATCH($A678,'Attandance Tracker'!$A$3:$A$50,0),DAY($D678))="P","Present",IF(INDEX('Attandance Tracker'!$D$3:$AH$50,MATCH($A678,'Attandance Tracker'!$A$3:$A$50,0),DAY($D678))="A","Absent","Leave")),"")</f>
        <v>Present</v>
      </c>
    </row>
    <row r="679" spans="1:9" x14ac:dyDescent="0.25">
      <c r="A679">
        <v>1022</v>
      </c>
      <c r="B679" t="str">
        <f>_xlfn.IFNA(INDEX('Attandance Tracker'!$B$3:$B$30,MATCH($A679,'Attandance Tracker'!$A$3:$A$30,0)),"")</f>
        <v xml:space="preserve"> Ritu</v>
      </c>
      <c r="C679" s="14" t="str">
        <f>_xlfn.IFNA(INDEX('Attandance Tracker'!$C$3:$C$30,MATCH($A679,'Attandance Tracker'!$A$3:$A$30,0)),"")</f>
        <v>Finance</v>
      </c>
      <c r="D679" s="14">
        <v>25</v>
      </c>
      <c r="E679" s="7">
        <v>0.375</v>
      </c>
      <c r="F679" s="7">
        <v>0.83333333333333337</v>
      </c>
      <c r="G679" s="7">
        <f t="shared" si="29"/>
        <v>0.33333333333333331</v>
      </c>
      <c r="H679" s="7">
        <f t="shared" si="30"/>
        <v>0.12500000000000006</v>
      </c>
      <c r="I679" t="str">
        <f>IFERROR(IF(INDEX('Attandance Tracker'!$D$3:$AH$50,MATCH($A679,'Attandance Tracker'!$A$3:$A$50,0),DAY($D679))="P","Present",IF(INDEX('Attandance Tracker'!$D$3:$AH$50,MATCH($A679,'Attandance Tracker'!$A$3:$A$50,0),DAY($D679))="A","Absent","Leave")),"")</f>
        <v>Present</v>
      </c>
    </row>
    <row r="680" spans="1:9" x14ac:dyDescent="0.25">
      <c r="A680">
        <v>1022</v>
      </c>
      <c r="B680" t="str">
        <f>_xlfn.IFNA(INDEX('Attandance Tracker'!$B$3:$B$30,MATCH($A680,'Attandance Tracker'!$A$3:$A$30,0)),"")</f>
        <v xml:space="preserve"> Ritu</v>
      </c>
      <c r="C680" s="14" t="str">
        <f>_xlfn.IFNA(INDEX('Attandance Tracker'!$C$3:$C$30,MATCH($A680,'Attandance Tracker'!$A$3:$A$30,0)),"")</f>
        <v>Finance</v>
      </c>
      <c r="D680" s="14">
        <v>26</v>
      </c>
      <c r="E680" s="7">
        <v>0.33333333333333331</v>
      </c>
      <c r="F680" s="7">
        <v>0.75</v>
      </c>
      <c r="G680" s="7">
        <f t="shared" si="29"/>
        <v>0.33333333333333331</v>
      </c>
      <c r="H680" s="7">
        <f t="shared" si="30"/>
        <v>8.333333333333337E-2</v>
      </c>
      <c r="I680" t="str">
        <f>IFERROR(IF(INDEX('Attandance Tracker'!$D$3:$AH$50,MATCH($A680,'Attandance Tracker'!$A$3:$A$50,0),DAY($D680))="P","Present",IF(INDEX('Attandance Tracker'!$D$3:$AH$50,MATCH($A680,'Attandance Tracker'!$A$3:$A$50,0),DAY($D680))="A","Absent","Leave")),"")</f>
        <v>Present</v>
      </c>
    </row>
    <row r="681" spans="1:9" x14ac:dyDescent="0.25">
      <c r="A681">
        <v>1022</v>
      </c>
      <c r="B681" t="str">
        <f>_xlfn.IFNA(INDEX('Attandance Tracker'!$B$3:$B$30,MATCH($A681,'Attandance Tracker'!$A$3:$A$30,0)),"")</f>
        <v xml:space="preserve"> Ritu</v>
      </c>
      <c r="C681" s="14" t="str">
        <f>_xlfn.IFNA(INDEX('Attandance Tracker'!$C$3:$C$30,MATCH($A681,'Attandance Tracker'!$A$3:$A$30,0)),"")</f>
        <v>Finance</v>
      </c>
      <c r="D681" s="14">
        <v>27</v>
      </c>
      <c r="E681" s="7">
        <v>0.33333333333333331</v>
      </c>
      <c r="F681" s="7">
        <v>0.83333333333333337</v>
      </c>
      <c r="G681" s="7">
        <f t="shared" si="29"/>
        <v>0.33333333333333331</v>
      </c>
      <c r="H681" s="7">
        <f t="shared" si="30"/>
        <v>0.16666666666666669</v>
      </c>
      <c r="I681" t="str">
        <f>IFERROR(IF(INDEX('Attandance Tracker'!$D$3:$AH$50,MATCH($A681,'Attandance Tracker'!$A$3:$A$50,0),DAY($D681))="P","Present",IF(INDEX('Attandance Tracker'!$D$3:$AH$50,MATCH($A681,'Attandance Tracker'!$A$3:$A$50,0),DAY($D681))="A","Absent","Leave")),"")</f>
        <v>Present</v>
      </c>
    </row>
    <row r="682" spans="1:9" x14ac:dyDescent="0.25">
      <c r="A682">
        <v>1022</v>
      </c>
      <c r="B682" t="str">
        <f>_xlfn.IFNA(INDEX('Attandance Tracker'!$B$3:$B$30,MATCH($A682,'Attandance Tracker'!$A$3:$A$30,0)),"")</f>
        <v xml:space="preserve"> Ritu</v>
      </c>
      <c r="C682" s="14" t="str">
        <f>_xlfn.IFNA(INDEX('Attandance Tracker'!$C$3:$C$30,MATCH($A682,'Attandance Tracker'!$A$3:$A$30,0)),"")</f>
        <v>Finance</v>
      </c>
      <c r="D682" s="14">
        <v>28</v>
      </c>
      <c r="E682" s="7">
        <v>0.375</v>
      </c>
      <c r="F682" s="7">
        <v>0.83333333333333337</v>
      </c>
      <c r="G682" s="7">
        <f t="shared" si="29"/>
        <v>0.33333333333333331</v>
      </c>
      <c r="H682" s="7">
        <f t="shared" si="30"/>
        <v>0.12500000000000006</v>
      </c>
      <c r="I682" t="str">
        <f>IFERROR(IF(INDEX('Attandance Tracker'!$D$3:$AH$50,MATCH($A682,'Attandance Tracker'!$A$3:$A$50,0),DAY($D682))="P","Present",IF(INDEX('Attandance Tracker'!$D$3:$AH$50,MATCH($A682,'Attandance Tracker'!$A$3:$A$50,0),DAY($D682))="A","Absent","Leave")),"")</f>
        <v>Present</v>
      </c>
    </row>
    <row r="683" spans="1:9" x14ac:dyDescent="0.25">
      <c r="A683">
        <v>1022</v>
      </c>
      <c r="B683" t="str">
        <f>_xlfn.IFNA(INDEX('Attandance Tracker'!$B$3:$B$30,MATCH($A683,'Attandance Tracker'!$A$3:$A$30,0)),"")</f>
        <v xml:space="preserve"> Ritu</v>
      </c>
      <c r="C683" s="14" t="str">
        <f>_xlfn.IFNA(INDEX('Attandance Tracker'!$C$3:$C$30,MATCH($A683,'Attandance Tracker'!$A$3:$A$30,0)),"")</f>
        <v>Finance</v>
      </c>
      <c r="D683" s="14">
        <v>29</v>
      </c>
      <c r="E683" s="7">
        <v>0.375</v>
      </c>
      <c r="F683" s="7">
        <v>0.79166666666666663</v>
      </c>
      <c r="G683" s="7">
        <f t="shared" si="29"/>
        <v>0.33333333333333331</v>
      </c>
      <c r="H683" s="7">
        <f t="shared" si="30"/>
        <v>8.3333333333333315E-2</v>
      </c>
      <c r="I683" t="str">
        <f>IFERROR(IF(INDEX('Attandance Tracker'!$D$3:$AH$50,MATCH($A683,'Attandance Tracker'!$A$3:$A$50,0),DAY($D683))="P","Present",IF(INDEX('Attandance Tracker'!$D$3:$AH$50,MATCH($A683,'Attandance Tracker'!$A$3:$A$50,0),DAY($D683))="A","Absent","Leave")),"")</f>
        <v>Present</v>
      </c>
    </row>
    <row r="684" spans="1:9" x14ac:dyDescent="0.25">
      <c r="A684">
        <v>1022</v>
      </c>
      <c r="B684" t="str">
        <f>_xlfn.IFNA(INDEX('Attandance Tracker'!$B$3:$B$30,MATCH($A684,'Attandance Tracker'!$A$3:$A$30,0)),"")</f>
        <v xml:space="preserve"> Ritu</v>
      </c>
      <c r="C684" s="14" t="str">
        <f>_xlfn.IFNA(INDEX('Attandance Tracker'!$C$3:$C$30,MATCH($A684,'Attandance Tracker'!$A$3:$A$30,0)),"")</f>
        <v>Finance</v>
      </c>
      <c r="D684" s="14">
        <v>30</v>
      </c>
      <c r="E684" s="7">
        <v>0.375</v>
      </c>
      <c r="F684" s="7">
        <v>0.83333333333333337</v>
      </c>
      <c r="G684" s="7">
        <f t="shared" si="29"/>
        <v>0.33333333333333331</v>
      </c>
      <c r="H684" s="7">
        <f t="shared" si="30"/>
        <v>0.12500000000000006</v>
      </c>
      <c r="I684" t="str">
        <f>IFERROR(IF(INDEX('Attandance Tracker'!$D$3:$AH$50,MATCH($A684,'Attandance Tracker'!$A$3:$A$50,0),DAY($D684))="P","Present",IF(INDEX('Attandance Tracker'!$D$3:$AH$50,MATCH($A684,'Attandance Tracker'!$A$3:$A$50,0),DAY($D684))="A","Absent","Leave")),"")</f>
        <v>Present</v>
      </c>
    </row>
    <row r="685" spans="1:9" x14ac:dyDescent="0.25">
      <c r="A685">
        <v>1022</v>
      </c>
      <c r="B685" t="str">
        <f>_xlfn.IFNA(INDEX('Attandance Tracker'!$B$3:$B$30,MATCH($A685,'Attandance Tracker'!$A$3:$A$30,0)),"")</f>
        <v xml:space="preserve"> Ritu</v>
      </c>
      <c r="C685" s="14" t="str">
        <f>_xlfn.IFNA(INDEX('Attandance Tracker'!$C$3:$C$30,MATCH($A685,'Attandance Tracker'!$A$3:$A$30,0)),"")</f>
        <v>Finance</v>
      </c>
      <c r="D685" s="14">
        <v>31</v>
      </c>
      <c r="E685" s="7">
        <v>0.33333333333333331</v>
      </c>
      <c r="F685" s="7">
        <v>0.75</v>
      </c>
      <c r="G685" s="7">
        <f t="shared" si="29"/>
        <v>0.33333333333333331</v>
      </c>
      <c r="H685" s="7">
        <f t="shared" si="30"/>
        <v>8.333333333333337E-2</v>
      </c>
      <c r="I685" t="str">
        <f>IFERROR(IF(INDEX('Attandance Tracker'!$D$3:$AH$50,MATCH($A685,'Attandance Tracker'!$A$3:$A$50,0),DAY($D685))="P","Present",IF(INDEX('Attandance Tracker'!$D$3:$AH$50,MATCH($A685,'Attandance Tracker'!$A$3:$A$50,0),DAY($D685))="A","Absent","Leave")),"")</f>
        <v>Present</v>
      </c>
    </row>
    <row r="686" spans="1:9" x14ac:dyDescent="0.25">
      <c r="A686">
        <v>1023</v>
      </c>
      <c r="B686" t="str">
        <f>_xlfn.IFNA(INDEX('Attandance Tracker'!$B$3:$B$30,MATCH($A686,'Attandance Tracker'!$A$3:$A$30,0)),"")</f>
        <v xml:space="preserve"> Manish</v>
      </c>
      <c r="C686" s="14" t="str">
        <f>_xlfn.IFNA(INDEX('Attandance Tracker'!$C$3:$C$30,MATCH($A686,'Attandance Tracker'!$A$3:$A$30,0)),"")</f>
        <v>IT</v>
      </c>
      <c r="D686" s="14">
        <v>1</v>
      </c>
      <c r="E686" s="7">
        <v>0.33333333333333331</v>
      </c>
      <c r="F686" s="7">
        <v>0.79166666666666663</v>
      </c>
      <c r="G686" s="7">
        <f t="shared" si="29"/>
        <v>0</v>
      </c>
      <c r="H686" s="7">
        <f t="shared" si="30"/>
        <v>0</v>
      </c>
      <c r="I686" t="str">
        <f>IFERROR(IF(INDEX('Attandance Tracker'!$D$3:$AH$50,MATCH($A686,'Attandance Tracker'!$A$3:$A$50,0),DAY($D686))="P","Present",IF(INDEX('Attandance Tracker'!$D$3:$AH$50,MATCH($A686,'Attandance Tracker'!$A$3:$A$50,0),DAY($D686))="A","Absent","Leave")),"")</f>
        <v>Leave</v>
      </c>
    </row>
    <row r="687" spans="1:9" x14ac:dyDescent="0.25">
      <c r="A687">
        <v>1023</v>
      </c>
      <c r="B687" t="str">
        <f>_xlfn.IFNA(INDEX('Attandance Tracker'!$B$3:$B$30,MATCH($A687,'Attandance Tracker'!$A$3:$A$30,0)),"")</f>
        <v xml:space="preserve"> Manish</v>
      </c>
      <c r="C687" s="14" t="str">
        <f>_xlfn.IFNA(INDEX('Attandance Tracker'!$C$3:$C$30,MATCH($A687,'Attandance Tracker'!$A$3:$A$30,0)),"")</f>
        <v>IT</v>
      </c>
      <c r="D687" s="14">
        <v>2</v>
      </c>
      <c r="E687" s="7">
        <v>0.33333333333333331</v>
      </c>
      <c r="F687" s="7">
        <v>0.83333333333333337</v>
      </c>
      <c r="G687" s="7">
        <f t="shared" si="29"/>
        <v>0</v>
      </c>
      <c r="H687" s="7">
        <f t="shared" si="30"/>
        <v>0</v>
      </c>
      <c r="I687" t="str">
        <f>IFERROR(IF(INDEX('Attandance Tracker'!$D$3:$AH$50,MATCH($A687,'Attandance Tracker'!$A$3:$A$50,0),DAY($D687))="P","Present",IF(INDEX('Attandance Tracker'!$D$3:$AH$50,MATCH($A687,'Attandance Tracker'!$A$3:$A$50,0),DAY($D687))="A","Absent","Leave")),"")</f>
        <v>Leave</v>
      </c>
    </row>
    <row r="688" spans="1:9" x14ac:dyDescent="0.25">
      <c r="A688">
        <v>1023</v>
      </c>
      <c r="B688" t="str">
        <f>_xlfn.IFNA(INDEX('Attandance Tracker'!$B$3:$B$30,MATCH($A688,'Attandance Tracker'!$A$3:$A$30,0)),"")</f>
        <v xml:space="preserve"> Manish</v>
      </c>
      <c r="C688" s="14" t="str">
        <f>_xlfn.IFNA(INDEX('Attandance Tracker'!$C$3:$C$30,MATCH($A688,'Attandance Tracker'!$A$3:$A$30,0)),"")</f>
        <v>IT</v>
      </c>
      <c r="D688" s="14">
        <v>3</v>
      </c>
      <c r="E688" s="7">
        <v>0.33333333333333331</v>
      </c>
      <c r="F688" s="7">
        <v>0.75</v>
      </c>
      <c r="G688" s="7">
        <f t="shared" si="29"/>
        <v>0</v>
      </c>
      <c r="H688" s="7">
        <f t="shared" si="30"/>
        <v>0</v>
      </c>
      <c r="I688" t="str">
        <f>IFERROR(IF(INDEX('Attandance Tracker'!$D$3:$AH$50,MATCH($A688,'Attandance Tracker'!$A$3:$A$50,0),DAY($D688))="P","Present",IF(INDEX('Attandance Tracker'!$D$3:$AH$50,MATCH($A688,'Attandance Tracker'!$A$3:$A$50,0),DAY($D688))="A","Absent","Leave")),"")</f>
        <v>Leave</v>
      </c>
    </row>
    <row r="689" spans="1:9" x14ac:dyDescent="0.25">
      <c r="A689">
        <v>1023</v>
      </c>
      <c r="B689" t="str">
        <f>_xlfn.IFNA(INDEX('Attandance Tracker'!$B$3:$B$30,MATCH($A689,'Attandance Tracker'!$A$3:$A$30,0)),"")</f>
        <v xml:space="preserve"> Manish</v>
      </c>
      <c r="C689" s="14" t="str">
        <f>_xlfn.IFNA(INDEX('Attandance Tracker'!$C$3:$C$30,MATCH($A689,'Attandance Tracker'!$A$3:$A$30,0)),"")</f>
        <v>IT</v>
      </c>
      <c r="D689" s="14">
        <v>4</v>
      </c>
      <c r="E689" s="7">
        <v>0.33333333333333331</v>
      </c>
      <c r="F689" s="7">
        <v>0.83333333333333337</v>
      </c>
      <c r="G689" s="7">
        <f t="shared" si="29"/>
        <v>0</v>
      </c>
      <c r="H689" s="7">
        <f t="shared" si="30"/>
        <v>0</v>
      </c>
      <c r="I689" t="str">
        <f>IFERROR(IF(INDEX('Attandance Tracker'!$D$3:$AH$50,MATCH($A689,'Attandance Tracker'!$A$3:$A$50,0),DAY($D689))="P","Present",IF(INDEX('Attandance Tracker'!$D$3:$AH$50,MATCH($A689,'Attandance Tracker'!$A$3:$A$50,0),DAY($D689))="A","Absent","Leave")),"")</f>
        <v>Leave</v>
      </c>
    </row>
    <row r="690" spans="1:9" x14ac:dyDescent="0.25">
      <c r="A690">
        <v>1023</v>
      </c>
      <c r="B690" t="str">
        <f>_xlfn.IFNA(INDEX('Attandance Tracker'!$B$3:$B$30,MATCH($A690,'Attandance Tracker'!$A$3:$A$30,0)),"")</f>
        <v xml:space="preserve"> Manish</v>
      </c>
      <c r="C690" s="14" t="str">
        <f>_xlfn.IFNA(INDEX('Attandance Tracker'!$C$3:$C$30,MATCH($A690,'Attandance Tracker'!$A$3:$A$30,0)),"")</f>
        <v>IT</v>
      </c>
      <c r="D690" s="14">
        <v>5</v>
      </c>
      <c r="E690" s="7">
        <v>0.33333333333333331</v>
      </c>
      <c r="F690" s="7">
        <v>0.83333333333333337</v>
      </c>
      <c r="G690" s="7">
        <f t="shared" si="29"/>
        <v>0.33333333333333331</v>
      </c>
      <c r="H690" s="7">
        <f t="shared" si="30"/>
        <v>0.16666666666666669</v>
      </c>
      <c r="I690" t="str">
        <f>IFERROR(IF(INDEX('Attandance Tracker'!$D$3:$AH$50,MATCH($A690,'Attandance Tracker'!$A$3:$A$50,0),DAY($D690))="P","Present",IF(INDEX('Attandance Tracker'!$D$3:$AH$50,MATCH($A690,'Attandance Tracker'!$A$3:$A$50,0),DAY($D690))="A","Absent","Leave")),"")</f>
        <v>Present</v>
      </c>
    </row>
    <row r="691" spans="1:9" x14ac:dyDescent="0.25">
      <c r="A691">
        <v>1023</v>
      </c>
      <c r="B691" t="str">
        <f>_xlfn.IFNA(INDEX('Attandance Tracker'!$B$3:$B$30,MATCH($A691,'Attandance Tracker'!$A$3:$A$30,0)),"")</f>
        <v xml:space="preserve"> Manish</v>
      </c>
      <c r="C691" s="14" t="str">
        <f>_xlfn.IFNA(INDEX('Attandance Tracker'!$C$3:$C$30,MATCH($A691,'Attandance Tracker'!$A$3:$A$30,0)),"")</f>
        <v>IT</v>
      </c>
      <c r="D691" s="14">
        <v>6</v>
      </c>
      <c r="E691" s="7">
        <v>0.33333333333333331</v>
      </c>
      <c r="F691" s="7">
        <v>0.79166666666666663</v>
      </c>
      <c r="G691" s="7">
        <f t="shared" si="29"/>
        <v>0.33333333333333331</v>
      </c>
      <c r="H691" s="7">
        <f t="shared" si="30"/>
        <v>0.125</v>
      </c>
      <c r="I691" t="str">
        <f>IFERROR(IF(INDEX('Attandance Tracker'!$D$3:$AH$50,MATCH($A691,'Attandance Tracker'!$A$3:$A$50,0),DAY($D691))="P","Present",IF(INDEX('Attandance Tracker'!$D$3:$AH$50,MATCH($A691,'Attandance Tracker'!$A$3:$A$50,0),DAY($D691))="A","Absent","Leave")),"")</f>
        <v>Present</v>
      </c>
    </row>
    <row r="692" spans="1:9" x14ac:dyDescent="0.25">
      <c r="A692">
        <v>1023</v>
      </c>
      <c r="B692" t="str">
        <f>_xlfn.IFNA(INDEX('Attandance Tracker'!$B$3:$B$30,MATCH($A692,'Attandance Tracker'!$A$3:$A$30,0)),"")</f>
        <v xml:space="preserve"> Manish</v>
      </c>
      <c r="C692" s="14" t="str">
        <f>_xlfn.IFNA(INDEX('Attandance Tracker'!$C$3:$C$30,MATCH($A692,'Attandance Tracker'!$A$3:$A$30,0)),"")</f>
        <v>IT</v>
      </c>
      <c r="D692" s="14">
        <v>7</v>
      </c>
      <c r="E692" s="7">
        <v>0.375</v>
      </c>
      <c r="F692" s="7">
        <v>0.83333333333333337</v>
      </c>
      <c r="G692" s="7">
        <f t="shared" si="29"/>
        <v>0.33333333333333331</v>
      </c>
      <c r="H692" s="7">
        <f t="shared" si="30"/>
        <v>0.12500000000000006</v>
      </c>
      <c r="I692" t="str">
        <f>IFERROR(IF(INDEX('Attandance Tracker'!$D$3:$AH$50,MATCH($A692,'Attandance Tracker'!$A$3:$A$50,0),DAY($D692))="P","Present",IF(INDEX('Attandance Tracker'!$D$3:$AH$50,MATCH($A692,'Attandance Tracker'!$A$3:$A$50,0),DAY($D692))="A","Absent","Leave")),"")</f>
        <v>Present</v>
      </c>
    </row>
    <row r="693" spans="1:9" x14ac:dyDescent="0.25">
      <c r="A693">
        <v>1023</v>
      </c>
      <c r="B693" t="str">
        <f>_xlfn.IFNA(INDEX('Attandance Tracker'!$B$3:$B$30,MATCH($A693,'Attandance Tracker'!$A$3:$A$30,0)),"")</f>
        <v xml:space="preserve"> Manish</v>
      </c>
      <c r="C693" s="14" t="str">
        <f>_xlfn.IFNA(INDEX('Attandance Tracker'!$C$3:$C$30,MATCH($A693,'Attandance Tracker'!$A$3:$A$30,0)),"")</f>
        <v>IT</v>
      </c>
      <c r="D693" s="14">
        <v>8</v>
      </c>
      <c r="E693" s="7">
        <v>0.375</v>
      </c>
      <c r="F693" s="7">
        <v>0.75</v>
      </c>
      <c r="G693" s="7">
        <f t="shared" si="29"/>
        <v>0.33333333333333331</v>
      </c>
      <c r="H693" s="7">
        <f t="shared" si="30"/>
        <v>4.1666666666666685E-2</v>
      </c>
      <c r="I693" t="str">
        <f>IFERROR(IF(INDEX('Attandance Tracker'!$D$3:$AH$50,MATCH($A693,'Attandance Tracker'!$A$3:$A$50,0),DAY($D693))="P","Present",IF(INDEX('Attandance Tracker'!$D$3:$AH$50,MATCH($A693,'Attandance Tracker'!$A$3:$A$50,0),DAY($D693))="A","Absent","Leave")),"")</f>
        <v>Present</v>
      </c>
    </row>
    <row r="694" spans="1:9" x14ac:dyDescent="0.25">
      <c r="A694">
        <v>1023</v>
      </c>
      <c r="B694" t="str">
        <f>_xlfn.IFNA(INDEX('Attandance Tracker'!$B$3:$B$30,MATCH($A694,'Attandance Tracker'!$A$3:$A$30,0)),"")</f>
        <v xml:space="preserve"> Manish</v>
      </c>
      <c r="C694" s="14" t="str">
        <f>_xlfn.IFNA(INDEX('Attandance Tracker'!$C$3:$C$30,MATCH($A694,'Attandance Tracker'!$A$3:$A$30,0)),"")</f>
        <v>IT</v>
      </c>
      <c r="D694" s="14">
        <v>9</v>
      </c>
      <c r="E694" s="7">
        <v>0.375</v>
      </c>
      <c r="F694" s="7">
        <v>0.83333333333333337</v>
      </c>
      <c r="G694" s="7">
        <f t="shared" si="29"/>
        <v>0.33333333333333331</v>
      </c>
      <c r="H694" s="7">
        <f t="shared" si="30"/>
        <v>0.12500000000000006</v>
      </c>
      <c r="I694" t="str">
        <f>IFERROR(IF(INDEX('Attandance Tracker'!$D$3:$AH$50,MATCH($A694,'Attandance Tracker'!$A$3:$A$50,0),DAY($D694))="P","Present",IF(INDEX('Attandance Tracker'!$D$3:$AH$50,MATCH($A694,'Attandance Tracker'!$A$3:$A$50,0),DAY($D694))="A","Absent","Leave")),"")</f>
        <v>Present</v>
      </c>
    </row>
    <row r="695" spans="1:9" x14ac:dyDescent="0.25">
      <c r="A695">
        <v>1023</v>
      </c>
      <c r="B695" t="str">
        <f>_xlfn.IFNA(INDEX('Attandance Tracker'!$B$3:$B$30,MATCH($A695,'Attandance Tracker'!$A$3:$A$30,0)),"")</f>
        <v xml:space="preserve"> Manish</v>
      </c>
      <c r="C695" s="14" t="str">
        <f>_xlfn.IFNA(INDEX('Attandance Tracker'!$C$3:$C$30,MATCH($A695,'Attandance Tracker'!$A$3:$A$30,0)),"")</f>
        <v>IT</v>
      </c>
      <c r="D695" s="14">
        <v>10</v>
      </c>
      <c r="E695" s="7">
        <v>0.375</v>
      </c>
      <c r="F695" s="7">
        <v>0.83333333333333337</v>
      </c>
      <c r="G695" s="7">
        <f t="shared" si="29"/>
        <v>0.33333333333333331</v>
      </c>
      <c r="H695" s="7">
        <f t="shared" si="30"/>
        <v>0.12500000000000006</v>
      </c>
      <c r="I695" t="str">
        <f>IFERROR(IF(INDEX('Attandance Tracker'!$D$3:$AH$50,MATCH($A695,'Attandance Tracker'!$A$3:$A$50,0),DAY($D695))="P","Present",IF(INDEX('Attandance Tracker'!$D$3:$AH$50,MATCH($A695,'Attandance Tracker'!$A$3:$A$50,0),DAY($D695))="A","Absent","Leave")),"")</f>
        <v>Present</v>
      </c>
    </row>
    <row r="696" spans="1:9" x14ac:dyDescent="0.25">
      <c r="A696">
        <v>1023</v>
      </c>
      <c r="B696" t="str">
        <f>_xlfn.IFNA(INDEX('Attandance Tracker'!$B$3:$B$30,MATCH($A696,'Attandance Tracker'!$A$3:$A$30,0)),"")</f>
        <v xml:space="preserve"> Manish</v>
      </c>
      <c r="C696" s="14" t="str">
        <f>_xlfn.IFNA(INDEX('Attandance Tracker'!$C$3:$C$30,MATCH($A696,'Attandance Tracker'!$A$3:$A$30,0)),"")</f>
        <v>IT</v>
      </c>
      <c r="D696" s="14">
        <v>11</v>
      </c>
      <c r="E696" s="7">
        <v>0.33333333333333331</v>
      </c>
      <c r="F696" s="7">
        <v>0.79166666666666663</v>
      </c>
      <c r="G696" s="7">
        <f t="shared" si="29"/>
        <v>0.33333333333333331</v>
      </c>
      <c r="H696" s="7">
        <f t="shared" si="30"/>
        <v>0.125</v>
      </c>
      <c r="I696" t="str">
        <f>IFERROR(IF(INDEX('Attandance Tracker'!$D$3:$AH$50,MATCH($A696,'Attandance Tracker'!$A$3:$A$50,0),DAY($D696))="P","Present",IF(INDEX('Attandance Tracker'!$D$3:$AH$50,MATCH($A696,'Attandance Tracker'!$A$3:$A$50,0),DAY($D696))="A","Absent","Leave")),"")</f>
        <v>Present</v>
      </c>
    </row>
    <row r="697" spans="1:9" x14ac:dyDescent="0.25">
      <c r="A697">
        <v>1023</v>
      </c>
      <c r="B697" t="str">
        <f>_xlfn.IFNA(INDEX('Attandance Tracker'!$B$3:$B$30,MATCH($A697,'Attandance Tracker'!$A$3:$A$30,0)),"")</f>
        <v xml:space="preserve"> Manish</v>
      </c>
      <c r="C697" s="14" t="str">
        <f>_xlfn.IFNA(INDEX('Attandance Tracker'!$C$3:$C$30,MATCH($A697,'Attandance Tracker'!$A$3:$A$30,0)),"")</f>
        <v>IT</v>
      </c>
      <c r="D697" s="14">
        <v>12</v>
      </c>
      <c r="E697" s="7">
        <v>0.33333333333333331</v>
      </c>
      <c r="F697" s="7">
        <v>0.83333333333333337</v>
      </c>
      <c r="G697" s="7">
        <f t="shared" si="29"/>
        <v>0.33333333333333331</v>
      </c>
      <c r="H697" s="7">
        <f t="shared" si="30"/>
        <v>0.16666666666666669</v>
      </c>
      <c r="I697" t="str">
        <f>IFERROR(IF(INDEX('Attandance Tracker'!$D$3:$AH$50,MATCH($A697,'Attandance Tracker'!$A$3:$A$50,0),DAY($D697))="P","Present",IF(INDEX('Attandance Tracker'!$D$3:$AH$50,MATCH($A697,'Attandance Tracker'!$A$3:$A$50,0),DAY($D697))="A","Absent","Leave")),"")</f>
        <v>Present</v>
      </c>
    </row>
    <row r="698" spans="1:9" x14ac:dyDescent="0.25">
      <c r="A698">
        <v>1023</v>
      </c>
      <c r="B698" t="str">
        <f>_xlfn.IFNA(INDEX('Attandance Tracker'!$B$3:$B$30,MATCH($A698,'Attandance Tracker'!$A$3:$A$30,0)),"")</f>
        <v xml:space="preserve"> Manish</v>
      </c>
      <c r="C698" s="14" t="str">
        <f>_xlfn.IFNA(INDEX('Attandance Tracker'!$C$3:$C$30,MATCH($A698,'Attandance Tracker'!$A$3:$A$30,0)),"")</f>
        <v>IT</v>
      </c>
      <c r="D698" s="14">
        <v>13</v>
      </c>
      <c r="E698" s="7">
        <v>0.33333333333333331</v>
      </c>
      <c r="F698" s="7">
        <v>0.75</v>
      </c>
      <c r="G698" s="7">
        <f t="shared" si="29"/>
        <v>0.33333333333333331</v>
      </c>
      <c r="H698" s="7">
        <f t="shared" si="30"/>
        <v>8.333333333333337E-2</v>
      </c>
      <c r="I698" t="str">
        <f>IFERROR(IF(INDEX('Attandance Tracker'!$D$3:$AH$50,MATCH($A698,'Attandance Tracker'!$A$3:$A$50,0),DAY($D698))="P","Present",IF(INDEX('Attandance Tracker'!$D$3:$AH$50,MATCH($A698,'Attandance Tracker'!$A$3:$A$50,0),DAY($D698))="A","Absent","Leave")),"")</f>
        <v>Present</v>
      </c>
    </row>
    <row r="699" spans="1:9" x14ac:dyDescent="0.25">
      <c r="A699">
        <v>1023</v>
      </c>
      <c r="B699" t="str">
        <f>_xlfn.IFNA(INDEX('Attandance Tracker'!$B$3:$B$30,MATCH($A699,'Attandance Tracker'!$A$3:$A$30,0)),"")</f>
        <v xml:space="preserve"> Manish</v>
      </c>
      <c r="C699" s="14" t="str">
        <f>_xlfn.IFNA(INDEX('Attandance Tracker'!$C$3:$C$30,MATCH($A699,'Attandance Tracker'!$A$3:$A$30,0)),"")</f>
        <v>IT</v>
      </c>
      <c r="D699" s="14">
        <v>14</v>
      </c>
      <c r="E699" s="7">
        <v>0.33333333333333331</v>
      </c>
      <c r="F699" s="7">
        <v>0.83333333333333337</v>
      </c>
      <c r="G699" s="7">
        <f t="shared" si="29"/>
        <v>0.33333333333333331</v>
      </c>
      <c r="H699" s="7">
        <f t="shared" si="30"/>
        <v>0.16666666666666669</v>
      </c>
      <c r="I699" t="str">
        <f>IFERROR(IF(INDEX('Attandance Tracker'!$D$3:$AH$50,MATCH($A699,'Attandance Tracker'!$A$3:$A$50,0),DAY($D699))="P","Present",IF(INDEX('Attandance Tracker'!$D$3:$AH$50,MATCH($A699,'Attandance Tracker'!$A$3:$A$50,0),DAY($D699))="A","Absent","Leave")),"")</f>
        <v>Present</v>
      </c>
    </row>
    <row r="700" spans="1:9" x14ac:dyDescent="0.25">
      <c r="A700">
        <v>1023</v>
      </c>
      <c r="B700" t="str">
        <f>_xlfn.IFNA(INDEX('Attandance Tracker'!$B$3:$B$30,MATCH($A700,'Attandance Tracker'!$A$3:$A$30,0)),"")</f>
        <v xml:space="preserve"> Manish</v>
      </c>
      <c r="C700" s="14" t="str">
        <f>_xlfn.IFNA(INDEX('Attandance Tracker'!$C$3:$C$30,MATCH($A700,'Attandance Tracker'!$A$3:$A$30,0)),"")</f>
        <v>IT</v>
      </c>
      <c r="D700" s="14">
        <v>15</v>
      </c>
      <c r="E700" s="7">
        <v>0.33333333333333331</v>
      </c>
      <c r="F700" s="7">
        <v>0.83333333333333337</v>
      </c>
      <c r="G700" s="7">
        <f t="shared" si="29"/>
        <v>0.33333333333333331</v>
      </c>
      <c r="H700" s="7">
        <f t="shared" si="30"/>
        <v>0.16666666666666669</v>
      </c>
      <c r="I700" t="str">
        <f>IFERROR(IF(INDEX('Attandance Tracker'!$D$3:$AH$50,MATCH($A700,'Attandance Tracker'!$A$3:$A$50,0),DAY($D700))="P","Present",IF(INDEX('Attandance Tracker'!$D$3:$AH$50,MATCH($A700,'Attandance Tracker'!$A$3:$A$50,0),DAY($D700))="A","Absent","Leave")),"")</f>
        <v>Present</v>
      </c>
    </row>
    <row r="701" spans="1:9" x14ac:dyDescent="0.25">
      <c r="A701">
        <v>1023</v>
      </c>
      <c r="B701" t="str">
        <f>_xlfn.IFNA(INDEX('Attandance Tracker'!$B$3:$B$30,MATCH($A701,'Attandance Tracker'!$A$3:$A$30,0)),"")</f>
        <v xml:space="preserve"> Manish</v>
      </c>
      <c r="C701" s="14" t="str">
        <f>_xlfn.IFNA(INDEX('Attandance Tracker'!$C$3:$C$30,MATCH($A701,'Attandance Tracker'!$A$3:$A$30,0)),"")</f>
        <v>IT</v>
      </c>
      <c r="D701" s="14">
        <v>16</v>
      </c>
      <c r="E701" s="7">
        <v>0.33333333333333331</v>
      </c>
      <c r="F701" s="7">
        <v>0.83333333333333337</v>
      </c>
      <c r="G701" s="7">
        <f t="shared" si="29"/>
        <v>0.33333333333333331</v>
      </c>
      <c r="H701" s="7">
        <f t="shared" si="30"/>
        <v>0.16666666666666669</v>
      </c>
      <c r="I701" t="str">
        <f>IFERROR(IF(INDEX('Attandance Tracker'!$D$3:$AH$50,MATCH($A701,'Attandance Tracker'!$A$3:$A$50,0),DAY($D701))="P","Present",IF(INDEX('Attandance Tracker'!$D$3:$AH$50,MATCH($A701,'Attandance Tracker'!$A$3:$A$50,0),DAY($D701))="A","Absent","Leave")),"")</f>
        <v>Present</v>
      </c>
    </row>
    <row r="702" spans="1:9" x14ac:dyDescent="0.25">
      <c r="A702">
        <v>1023</v>
      </c>
      <c r="B702" t="str">
        <f>_xlfn.IFNA(INDEX('Attandance Tracker'!$B$3:$B$30,MATCH($A702,'Attandance Tracker'!$A$3:$A$30,0)),"")</f>
        <v xml:space="preserve"> Manish</v>
      </c>
      <c r="C702" s="14" t="str">
        <f>_xlfn.IFNA(INDEX('Attandance Tracker'!$C$3:$C$30,MATCH($A702,'Attandance Tracker'!$A$3:$A$30,0)),"")</f>
        <v>IT</v>
      </c>
      <c r="D702" s="14">
        <v>17</v>
      </c>
      <c r="E702" s="7">
        <v>0.33333333333333331</v>
      </c>
      <c r="F702" s="7">
        <v>0.79166666666666663</v>
      </c>
      <c r="G702" s="7">
        <f t="shared" si="29"/>
        <v>0.33333333333333331</v>
      </c>
      <c r="H702" s="7">
        <f t="shared" si="30"/>
        <v>0.125</v>
      </c>
      <c r="I702" t="str">
        <f>IFERROR(IF(INDEX('Attandance Tracker'!$D$3:$AH$50,MATCH($A702,'Attandance Tracker'!$A$3:$A$50,0),DAY($D702))="P","Present",IF(INDEX('Attandance Tracker'!$D$3:$AH$50,MATCH($A702,'Attandance Tracker'!$A$3:$A$50,0),DAY($D702))="A","Absent","Leave")),"")</f>
        <v>Present</v>
      </c>
    </row>
    <row r="703" spans="1:9" x14ac:dyDescent="0.25">
      <c r="A703">
        <v>1023</v>
      </c>
      <c r="B703" t="str">
        <f>_xlfn.IFNA(INDEX('Attandance Tracker'!$B$3:$B$30,MATCH($A703,'Attandance Tracker'!$A$3:$A$30,0)),"")</f>
        <v xml:space="preserve"> Manish</v>
      </c>
      <c r="C703" s="14" t="str">
        <f>_xlfn.IFNA(INDEX('Attandance Tracker'!$C$3:$C$30,MATCH($A703,'Attandance Tracker'!$A$3:$A$30,0)),"")</f>
        <v>IT</v>
      </c>
      <c r="D703" s="14">
        <v>18</v>
      </c>
      <c r="E703" s="7">
        <v>0.375</v>
      </c>
      <c r="F703" s="7">
        <v>0.83333333333333337</v>
      </c>
      <c r="G703" s="7">
        <f t="shared" si="29"/>
        <v>0.33333333333333331</v>
      </c>
      <c r="H703" s="7">
        <f t="shared" si="30"/>
        <v>0.12500000000000006</v>
      </c>
      <c r="I703" t="str">
        <f>IFERROR(IF(INDEX('Attandance Tracker'!$D$3:$AH$50,MATCH($A703,'Attandance Tracker'!$A$3:$A$50,0),DAY($D703))="P","Present",IF(INDEX('Attandance Tracker'!$D$3:$AH$50,MATCH($A703,'Attandance Tracker'!$A$3:$A$50,0),DAY($D703))="A","Absent","Leave")),"")</f>
        <v>Present</v>
      </c>
    </row>
    <row r="704" spans="1:9" x14ac:dyDescent="0.25">
      <c r="A704">
        <v>1023</v>
      </c>
      <c r="B704" t="str">
        <f>_xlfn.IFNA(INDEX('Attandance Tracker'!$B$3:$B$30,MATCH($A704,'Attandance Tracker'!$A$3:$A$30,0)),"")</f>
        <v xml:space="preserve"> Manish</v>
      </c>
      <c r="C704" s="14" t="str">
        <f>_xlfn.IFNA(INDEX('Attandance Tracker'!$C$3:$C$30,MATCH($A704,'Attandance Tracker'!$A$3:$A$30,0)),"")</f>
        <v>IT</v>
      </c>
      <c r="D704" s="14">
        <v>19</v>
      </c>
      <c r="E704" s="7">
        <v>0.375</v>
      </c>
      <c r="F704" s="7">
        <v>0.75</v>
      </c>
      <c r="G704" s="7">
        <f t="shared" si="29"/>
        <v>0.33333333333333331</v>
      </c>
      <c r="H704" s="7">
        <f t="shared" si="30"/>
        <v>4.1666666666666685E-2</v>
      </c>
      <c r="I704" t="str">
        <f>IFERROR(IF(INDEX('Attandance Tracker'!$D$3:$AH$50,MATCH($A704,'Attandance Tracker'!$A$3:$A$50,0),DAY($D704))="P","Present",IF(INDEX('Attandance Tracker'!$D$3:$AH$50,MATCH($A704,'Attandance Tracker'!$A$3:$A$50,0),DAY($D704))="A","Absent","Leave")),"")</f>
        <v>Present</v>
      </c>
    </row>
    <row r="705" spans="1:9" x14ac:dyDescent="0.25">
      <c r="A705">
        <v>1023</v>
      </c>
      <c r="B705" t="str">
        <f>_xlfn.IFNA(INDEX('Attandance Tracker'!$B$3:$B$30,MATCH($A705,'Attandance Tracker'!$A$3:$A$30,0)),"")</f>
        <v xml:space="preserve"> Manish</v>
      </c>
      <c r="C705" s="14" t="str">
        <f>_xlfn.IFNA(INDEX('Attandance Tracker'!$C$3:$C$30,MATCH($A705,'Attandance Tracker'!$A$3:$A$30,0)),"")</f>
        <v>IT</v>
      </c>
      <c r="D705" s="14">
        <v>20</v>
      </c>
      <c r="E705" s="7">
        <v>0.33333333333333331</v>
      </c>
      <c r="F705" s="7">
        <v>0.83333333333333337</v>
      </c>
      <c r="G705" s="7">
        <f t="shared" si="29"/>
        <v>0.33333333333333331</v>
      </c>
      <c r="H705" s="7">
        <f t="shared" si="30"/>
        <v>0.16666666666666669</v>
      </c>
      <c r="I705" t="str">
        <f>IFERROR(IF(INDEX('Attandance Tracker'!$D$3:$AH$50,MATCH($A705,'Attandance Tracker'!$A$3:$A$50,0),DAY($D705))="P","Present",IF(INDEX('Attandance Tracker'!$D$3:$AH$50,MATCH($A705,'Attandance Tracker'!$A$3:$A$50,0),DAY($D705))="A","Absent","Leave")),"")</f>
        <v>Present</v>
      </c>
    </row>
    <row r="706" spans="1:9" x14ac:dyDescent="0.25">
      <c r="A706">
        <v>1023</v>
      </c>
      <c r="B706" t="str">
        <f>_xlfn.IFNA(INDEX('Attandance Tracker'!$B$3:$B$30,MATCH($A706,'Attandance Tracker'!$A$3:$A$30,0)),"")</f>
        <v xml:space="preserve"> Manish</v>
      </c>
      <c r="C706" s="14" t="str">
        <f>_xlfn.IFNA(INDEX('Attandance Tracker'!$C$3:$C$30,MATCH($A706,'Attandance Tracker'!$A$3:$A$30,0)),"")</f>
        <v>IT</v>
      </c>
      <c r="D706" s="14">
        <v>21</v>
      </c>
      <c r="E706" s="7">
        <v>0.375</v>
      </c>
      <c r="F706" s="7">
        <v>0.83333333333333337</v>
      </c>
      <c r="G706" s="7">
        <f t="shared" si="29"/>
        <v>0.33333333333333331</v>
      </c>
      <c r="H706" s="7">
        <f t="shared" si="30"/>
        <v>0.12500000000000006</v>
      </c>
      <c r="I706" t="str">
        <f>IFERROR(IF(INDEX('Attandance Tracker'!$D$3:$AH$50,MATCH($A706,'Attandance Tracker'!$A$3:$A$50,0),DAY($D706))="P","Present",IF(INDEX('Attandance Tracker'!$D$3:$AH$50,MATCH($A706,'Attandance Tracker'!$A$3:$A$50,0),DAY($D706))="A","Absent","Leave")),"")</f>
        <v>Present</v>
      </c>
    </row>
    <row r="707" spans="1:9" x14ac:dyDescent="0.25">
      <c r="A707">
        <v>1023</v>
      </c>
      <c r="B707" t="str">
        <f>_xlfn.IFNA(INDEX('Attandance Tracker'!$B$3:$B$30,MATCH($A707,'Attandance Tracker'!$A$3:$A$30,0)),"")</f>
        <v xml:space="preserve"> Manish</v>
      </c>
      <c r="C707" s="14" t="str">
        <f>_xlfn.IFNA(INDEX('Attandance Tracker'!$C$3:$C$30,MATCH($A707,'Attandance Tracker'!$A$3:$A$30,0)),"")</f>
        <v>IT</v>
      </c>
      <c r="D707" s="14">
        <v>22</v>
      </c>
      <c r="E707" s="7">
        <v>0.375</v>
      </c>
      <c r="F707" s="7">
        <v>0.79166666666666663</v>
      </c>
      <c r="G707" s="7">
        <f t="shared" si="29"/>
        <v>0.33333333333333331</v>
      </c>
      <c r="H707" s="7">
        <f t="shared" si="30"/>
        <v>8.3333333333333315E-2</v>
      </c>
      <c r="I707" t="str">
        <f>IFERROR(IF(INDEX('Attandance Tracker'!$D$3:$AH$50,MATCH($A707,'Attandance Tracker'!$A$3:$A$50,0),DAY($D707))="P","Present",IF(INDEX('Attandance Tracker'!$D$3:$AH$50,MATCH($A707,'Attandance Tracker'!$A$3:$A$50,0),DAY($D707))="A","Absent","Leave")),"")</f>
        <v>Present</v>
      </c>
    </row>
    <row r="708" spans="1:9" x14ac:dyDescent="0.25">
      <c r="A708">
        <v>1023</v>
      </c>
      <c r="B708" t="str">
        <f>_xlfn.IFNA(INDEX('Attandance Tracker'!$B$3:$B$30,MATCH($A708,'Attandance Tracker'!$A$3:$A$30,0)),"")</f>
        <v xml:space="preserve"> Manish</v>
      </c>
      <c r="C708" s="14" t="str">
        <f>_xlfn.IFNA(INDEX('Attandance Tracker'!$C$3:$C$30,MATCH($A708,'Attandance Tracker'!$A$3:$A$30,0)),"")</f>
        <v>IT</v>
      </c>
      <c r="D708" s="14">
        <v>23</v>
      </c>
      <c r="E708" s="7">
        <v>0.375</v>
      </c>
      <c r="F708" s="7">
        <v>0.83333333333333337</v>
      </c>
      <c r="G708" s="7">
        <f t="shared" si="29"/>
        <v>0.33333333333333331</v>
      </c>
      <c r="H708" s="7">
        <f t="shared" si="30"/>
        <v>0.12500000000000006</v>
      </c>
      <c r="I708" t="str">
        <f>IFERROR(IF(INDEX('Attandance Tracker'!$D$3:$AH$50,MATCH($A708,'Attandance Tracker'!$A$3:$A$50,0),DAY($D708))="P","Present",IF(INDEX('Attandance Tracker'!$D$3:$AH$50,MATCH($A708,'Attandance Tracker'!$A$3:$A$50,0),DAY($D708))="A","Absent","Leave")),"")</f>
        <v>Present</v>
      </c>
    </row>
    <row r="709" spans="1:9" x14ac:dyDescent="0.25">
      <c r="A709">
        <v>1023</v>
      </c>
      <c r="B709" t="str">
        <f>_xlfn.IFNA(INDEX('Attandance Tracker'!$B$3:$B$30,MATCH($A709,'Attandance Tracker'!$A$3:$A$30,0)),"")</f>
        <v xml:space="preserve"> Manish</v>
      </c>
      <c r="C709" s="14" t="str">
        <f>_xlfn.IFNA(INDEX('Attandance Tracker'!$C$3:$C$30,MATCH($A709,'Attandance Tracker'!$A$3:$A$30,0)),"")</f>
        <v>IT</v>
      </c>
      <c r="D709" s="14">
        <v>24</v>
      </c>
      <c r="E709" s="7">
        <v>0.33333333333333331</v>
      </c>
      <c r="F709" s="7">
        <v>0.75</v>
      </c>
      <c r="G709" s="7">
        <f t="shared" ref="G709:G772" si="31">IF(I709="Present",MIN(F709-E709,8/24),IF(I709="Absent",8/24,0))</f>
        <v>0.33333333333333331</v>
      </c>
      <c r="H709" s="7">
        <f t="shared" ref="H709:H772" si="32">IF(I709="Present",MAX(0,F709-E709-8/24),0)</f>
        <v>8.333333333333337E-2</v>
      </c>
      <c r="I709" t="str">
        <f>IFERROR(IF(INDEX('Attandance Tracker'!$D$3:$AH$50,MATCH($A709,'Attandance Tracker'!$A$3:$A$50,0),DAY($D709))="P","Present",IF(INDEX('Attandance Tracker'!$D$3:$AH$50,MATCH($A709,'Attandance Tracker'!$A$3:$A$50,0),DAY($D709))="A","Absent","Leave")),"")</f>
        <v>Present</v>
      </c>
    </row>
    <row r="710" spans="1:9" x14ac:dyDescent="0.25">
      <c r="A710">
        <v>1023</v>
      </c>
      <c r="B710" t="str">
        <f>_xlfn.IFNA(INDEX('Attandance Tracker'!$B$3:$B$30,MATCH($A710,'Attandance Tracker'!$A$3:$A$30,0)),"")</f>
        <v xml:space="preserve"> Manish</v>
      </c>
      <c r="C710" s="14" t="str">
        <f>_xlfn.IFNA(INDEX('Attandance Tracker'!$C$3:$C$30,MATCH($A710,'Attandance Tracker'!$A$3:$A$30,0)),"")</f>
        <v>IT</v>
      </c>
      <c r="D710" s="14">
        <v>25</v>
      </c>
      <c r="E710" s="7">
        <v>0.33333333333333331</v>
      </c>
      <c r="F710" s="7">
        <v>0.79166666666666663</v>
      </c>
      <c r="G710" s="7">
        <f t="shared" si="31"/>
        <v>0.33333333333333331</v>
      </c>
      <c r="H710" s="7">
        <f t="shared" si="32"/>
        <v>0.125</v>
      </c>
      <c r="I710" t="str">
        <f>IFERROR(IF(INDEX('Attandance Tracker'!$D$3:$AH$50,MATCH($A710,'Attandance Tracker'!$A$3:$A$50,0),DAY($D710))="P","Present",IF(INDEX('Attandance Tracker'!$D$3:$AH$50,MATCH($A710,'Attandance Tracker'!$A$3:$A$50,0),DAY($D710))="A","Absent","Leave")),"")</f>
        <v>Present</v>
      </c>
    </row>
    <row r="711" spans="1:9" x14ac:dyDescent="0.25">
      <c r="A711">
        <v>1023</v>
      </c>
      <c r="B711" t="str">
        <f>_xlfn.IFNA(INDEX('Attandance Tracker'!$B$3:$B$30,MATCH($A711,'Attandance Tracker'!$A$3:$A$30,0)),"")</f>
        <v xml:space="preserve"> Manish</v>
      </c>
      <c r="C711" s="14" t="str">
        <f>_xlfn.IFNA(INDEX('Attandance Tracker'!$C$3:$C$30,MATCH($A711,'Attandance Tracker'!$A$3:$A$30,0)),"")</f>
        <v>IT</v>
      </c>
      <c r="D711" s="14">
        <v>26</v>
      </c>
      <c r="E711" s="7">
        <v>0.375</v>
      </c>
      <c r="F711" s="7">
        <v>0.83333333333333337</v>
      </c>
      <c r="G711" s="7">
        <f t="shared" si="31"/>
        <v>0.33333333333333331</v>
      </c>
      <c r="H711" s="7">
        <f t="shared" si="32"/>
        <v>0.12500000000000006</v>
      </c>
      <c r="I711" t="str">
        <f>IFERROR(IF(INDEX('Attandance Tracker'!$D$3:$AH$50,MATCH($A711,'Attandance Tracker'!$A$3:$A$50,0),DAY($D711))="P","Present",IF(INDEX('Attandance Tracker'!$D$3:$AH$50,MATCH($A711,'Attandance Tracker'!$A$3:$A$50,0),DAY($D711))="A","Absent","Leave")),"")</f>
        <v>Present</v>
      </c>
    </row>
    <row r="712" spans="1:9" x14ac:dyDescent="0.25">
      <c r="A712">
        <v>1023</v>
      </c>
      <c r="B712" t="str">
        <f>_xlfn.IFNA(INDEX('Attandance Tracker'!$B$3:$B$30,MATCH($A712,'Attandance Tracker'!$A$3:$A$30,0)),"")</f>
        <v xml:space="preserve"> Manish</v>
      </c>
      <c r="C712" s="14" t="str">
        <f>_xlfn.IFNA(INDEX('Attandance Tracker'!$C$3:$C$30,MATCH($A712,'Attandance Tracker'!$A$3:$A$30,0)),"")</f>
        <v>IT</v>
      </c>
      <c r="D712" s="14">
        <v>27</v>
      </c>
      <c r="E712" s="7">
        <v>0.375</v>
      </c>
      <c r="F712" s="7">
        <v>0.75</v>
      </c>
      <c r="G712" s="7">
        <f t="shared" si="31"/>
        <v>0.33333333333333331</v>
      </c>
      <c r="H712" s="7">
        <f t="shared" si="32"/>
        <v>4.1666666666666685E-2</v>
      </c>
      <c r="I712" t="str">
        <f>IFERROR(IF(INDEX('Attandance Tracker'!$D$3:$AH$50,MATCH($A712,'Attandance Tracker'!$A$3:$A$50,0),DAY($D712))="P","Present",IF(INDEX('Attandance Tracker'!$D$3:$AH$50,MATCH($A712,'Attandance Tracker'!$A$3:$A$50,0),DAY($D712))="A","Absent","Leave")),"")</f>
        <v>Present</v>
      </c>
    </row>
    <row r="713" spans="1:9" x14ac:dyDescent="0.25">
      <c r="A713">
        <v>1023</v>
      </c>
      <c r="B713" t="str">
        <f>_xlfn.IFNA(INDEX('Attandance Tracker'!$B$3:$B$30,MATCH($A713,'Attandance Tracker'!$A$3:$A$30,0)),"")</f>
        <v xml:space="preserve"> Manish</v>
      </c>
      <c r="C713" s="14" t="str">
        <f>_xlfn.IFNA(INDEX('Attandance Tracker'!$C$3:$C$30,MATCH($A713,'Attandance Tracker'!$A$3:$A$30,0)),"")</f>
        <v>IT</v>
      </c>
      <c r="D713" s="14">
        <v>28</v>
      </c>
      <c r="E713" s="7">
        <v>0.375</v>
      </c>
      <c r="F713" s="7">
        <v>0.83333333333333337</v>
      </c>
      <c r="G713" s="7">
        <f t="shared" si="31"/>
        <v>0.33333333333333331</v>
      </c>
      <c r="H713" s="7">
        <f t="shared" si="32"/>
        <v>0.12500000000000006</v>
      </c>
      <c r="I713" t="str">
        <f>IFERROR(IF(INDEX('Attandance Tracker'!$D$3:$AH$50,MATCH($A713,'Attandance Tracker'!$A$3:$A$50,0),DAY($D713))="P","Present",IF(INDEX('Attandance Tracker'!$D$3:$AH$50,MATCH($A713,'Attandance Tracker'!$A$3:$A$50,0),DAY($D713))="A","Absent","Leave")),"")</f>
        <v>Present</v>
      </c>
    </row>
    <row r="714" spans="1:9" x14ac:dyDescent="0.25">
      <c r="A714">
        <v>1023</v>
      </c>
      <c r="B714" t="str">
        <f>_xlfn.IFNA(INDEX('Attandance Tracker'!$B$3:$B$30,MATCH($A714,'Attandance Tracker'!$A$3:$A$30,0)),"")</f>
        <v xml:space="preserve"> Manish</v>
      </c>
      <c r="C714" s="14" t="str">
        <f>_xlfn.IFNA(INDEX('Attandance Tracker'!$C$3:$C$30,MATCH($A714,'Attandance Tracker'!$A$3:$A$30,0)),"")</f>
        <v>IT</v>
      </c>
      <c r="D714" s="14">
        <v>29</v>
      </c>
      <c r="E714" s="7">
        <v>0.33333333333333331</v>
      </c>
      <c r="F714" s="7">
        <v>0.83333333333333337</v>
      </c>
      <c r="G714" s="7">
        <f t="shared" si="31"/>
        <v>0.33333333333333331</v>
      </c>
      <c r="H714" s="7">
        <f t="shared" si="32"/>
        <v>0.16666666666666669</v>
      </c>
      <c r="I714" t="str">
        <f>IFERROR(IF(INDEX('Attandance Tracker'!$D$3:$AH$50,MATCH($A714,'Attandance Tracker'!$A$3:$A$50,0),DAY($D714))="P","Present",IF(INDEX('Attandance Tracker'!$D$3:$AH$50,MATCH($A714,'Attandance Tracker'!$A$3:$A$50,0),DAY($D714))="A","Absent","Leave")),"")</f>
        <v>Present</v>
      </c>
    </row>
    <row r="715" spans="1:9" x14ac:dyDescent="0.25">
      <c r="A715">
        <v>1023</v>
      </c>
      <c r="B715" t="str">
        <f>_xlfn.IFNA(INDEX('Attandance Tracker'!$B$3:$B$30,MATCH($A715,'Attandance Tracker'!$A$3:$A$30,0)),"")</f>
        <v xml:space="preserve"> Manish</v>
      </c>
      <c r="C715" s="14" t="str">
        <f>_xlfn.IFNA(INDEX('Attandance Tracker'!$C$3:$C$30,MATCH($A715,'Attandance Tracker'!$A$3:$A$30,0)),"")</f>
        <v>IT</v>
      </c>
      <c r="D715" s="14">
        <v>30</v>
      </c>
      <c r="E715" s="7">
        <v>0.33333333333333331</v>
      </c>
      <c r="F715" s="7">
        <v>0.79166666666666663</v>
      </c>
      <c r="G715" s="7">
        <f t="shared" si="31"/>
        <v>0.33333333333333331</v>
      </c>
      <c r="H715" s="7">
        <f t="shared" si="32"/>
        <v>0.125</v>
      </c>
      <c r="I715" t="str">
        <f>IFERROR(IF(INDEX('Attandance Tracker'!$D$3:$AH$50,MATCH($A715,'Attandance Tracker'!$A$3:$A$50,0),DAY($D715))="P","Present",IF(INDEX('Attandance Tracker'!$D$3:$AH$50,MATCH($A715,'Attandance Tracker'!$A$3:$A$50,0),DAY($D715))="A","Absent","Leave")),"")</f>
        <v>Present</v>
      </c>
    </row>
    <row r="716" spans="1:9" x14ac:dyDescent="0.25">
      <c r="A716">
        <v>1023</v>
      </c>
      <c r="B716" t="str">
        <f>_xlfn.IFNA(INDEX('Attandance Tracker'!$B$3:$B$30,MATCH($A716,'Attandance Tracker'!$A$3:$A$30,0)),"")</f>
        <v xml:space="preserve"> Manish</v>
      </c>
      <c r="C716" s="14" t="str">
        <f>_xlfn.IFNA(INDEX('Attandance Tracker'!$C$3:$C$30,MATCH($A716,'Attandance Tracker'!$A$3:$A$30,0)),"")</f>
        <v>IT</v>
      </c>
      <c r="D716" s="14">
        <v>31</v>
      </c>
      <c r="E716" s="7">
        <v>0.33333333333333331</v>
      </c>
      <c r="F716" s="7">
        <v>0.83333333333333337</v>
      </c>
      <c r="G716" s="7">
        <f t="shared" si="31"/>
        <v>0.33333333333333331</v>
      </c>
      <c r="H716" s="7">
        <f t="shared" si="32"/>
        <v>0.16666666666666669</v>
      </c>
      <c r="I716" t="str">
        <f>IFERROR(IF(INDEX('Attandance Tracker'!$D$3:$AH$50,MATCH($A716,'Attandance Tracker'!$A$3:$A$50,0),DAY($D716))="P","Present",IF(INDEX('Attandance Tracker'!$D$3:$AH$50,MATCH($A716,'Attandance Tracker'!$A$3:$A$50,0),DAY($D716))="A","Absent","Leave")),"")</f>
        <v>Present</v>
      </c>
    </row>
    <row r="717" spans="1:9" x14ac:dyDescent="0.25">
      <c r="A717">
        <v>1024</v>
      </c>
      <c r="B717" t="str">
        <f>_xlfn.IFNA(INDEX('Attandance Tracker'!$B$3:$B$30,MATCH($A717,'Attandance Tracker'!$A$3:$A$30,0)),"")</f>
        <v xml:space="preserve"> Komal</v>
      </c>
      <c r="C717" s="14" t="str">
        <f>_xlfn.IFNA(INDEX('Attandance Tracker'!$C$3:$C$30,MATCH($A717,'Attandance Tracker'!$A$3:$A$30,0)),"")</f>
        <v>Sales</v>
      </c>
      <c r="D717" s="14">
        <v>1</v>
      </c>
      <c r="E717" s="7">
        <v>0.375</v>
      </c>
      <c r="F717" s="7">
        <v>0.75</v>
      </c>
      <c r="G717" s="7">
        <f t="shared" si="31"/>
        <v>0.33333333333333331</v>
      </c>
      <c r="H717" s="7">
        <f t="shared" si="32"/>
        <v>4.1666666666666685E-2</v>
      </c>
      <c r="I717" t="str">
        <f>IFERROR(IF(INDEX('Attandance Tracker'!$D$3:$AH$50,MATCH($A717,'Attandance Tracker'!$A$3:$A$50,0),DAY($D717))="P","Present",IF(INDEX('Attandance Tracker'!$D$3:$AH$50,MATCH($A717,'Attandance Tracker'!$A$3:$A$50,0),DAY($D717))="A","Absent","Leave")),"")</f>
        <v>Present</v>
      </c>
    </row>
    <row r="718" spans="1:9" x14ac:dyDescent="0.25">
      <c r="A718">
        <v>1024</v>
      </c>
      <c r="B718" t="str">
        <f>_xlfn.IFNA(INDEX('Attandance Tracker'!$B$3:$B$30,MATCH($A718,'Attandance Tracker'!$A$3:$A$30,0)),"")</f>
        <v xml:space="preserve"> Komal</v>
      </c>
      <c r="C718" s="14" t="str">
        <f>_xlfn.IFNA(INDEX('Attandance Tracker'!$C$3:$C$30,MATCH($A718,'Attandance Tracker'!$A$3:$A$30,0)),"")</f>
        <v>Sales</v>
      </c>
      <c r="D718" s="14">
        <v>2</v>
      </c>
      <c r="E718" s="7">
        <v>0.33333333333333331</v>
      </c>
      <c r="F718" s="7">
        <v>0.83333333333333337</v>
      </c>
      <c r="G718" s="7">
        <f t="shared" si="31"/>
        <v>0.33333333333333331</v>
      </c>
      <c r="H718" s="7">
        <f t="shared" si="32"/>
        <v>0.16666666666666669</v>
      </c>
      <c r="I718" t="str">
        <f>IFERROR(IF(INDEX('Attandance Tracker'!$D$3:$AH$50,MATCH($A718,'Attandance Tracker'!$A$3:$A$50,0),DAY($D718))="P","Present",IF(INDEX('Attandance Tracker'!$D$3:$AH$50,MATCH($A718,'Attandance Tracker'!$A$3:$A$50,0),DAY($D718))="A","Absent","Leave")),"")</f>
        <v>Present</v>
      </c>
    </row>
    <row r="719" spans="1:9" x14ac:dyDescent="0.25">
      <c r="A719">
        <v>1024</v>
      </c>
      <c r="B719" t="str">
        <f>_xlfn.IFNA(INDEX('Attandance Tracker'!$B$3:$B$30,MATCH($A719,'Attandance Tracker'!$A$3:$A$30,0)),"")</f>
        <v xml:space="preserve"> Komal</v>
      </c>
      <c r="C719" s="14" t="str">
        <f>_xlfn.IFNA(INDEX('Attandance Tracker'!$C$3:$C$30,MATCH($A719,'Attandance Tracker'!$A$3:$A$30,0)),"")</f>
        <v>Sales</v>
      </c>
      <c r="D719" s="14">
        <v>3</v>
      </c>
      <c r="E719" s="7">
        <v>0.33333333333333331</v>
      </c>
      <c r="F719" s="7">
        <v>0.83333333333333337</v>
      </c>
      <c r="G719" s="7">
        <f t="shared" si="31"/>
        <v>0.33333333333333331</v>
      </c>
      <c r="H719" s="7">
        <f t="shared" si="32"/>
        <v>0.16666666666666669</v>
      </c>
      <c r="I719" t="str">
        <f>IFERROR(IF(INDEX('Attandance Tracker'!$D$3:$AH$50,MATCH($A719,'Attandance Tracker'!$A$3:$A$50,0),DAY($D719))="P","Present",IF(INDEX('Attandance Tracker'!$D$3:$AH$50,MATCH($A719,'Attandance Tracker'!$A$3:$A$50,0),DAY($D719))="A","Absent","Leave")),"")</f>
        <v>Present</v>
      </c>
    </row>
    <row r="720" spans="1:9" x14ac:dyDescent="0.25">
      <c r="A720">
        <v>1024</v>
      </c>
      <c r="B720" t="str">
        <f>_xlfn.IFNA(INDEX('Attandance Tracker'!$B$3:$B$30,MATCH($A720,'Attandance Tracker'!$A$3:$A$30,0)),"")</f>
        <v xml:space="preserve"> Komal</v>
      </c>
      <c r="C720" s="14" t="str">
        <f>_xlfn.IFNA(INDEX('Attandance Tracker'!$C$3:$C$30,MATCH($A720,'Attandance Tracker'!$A$3:$A$30,0)),"")</f>
        <v>Sales</v>
      </c>
      <c r="D720" s="14">
        <v>4</v>
      </c>
      <c r="E720" s="7">
        <v>0.375</v>
      </c>
      <c r="F720" s="7">
        <v>0.83333333333333337</v>
      </c>
      <c r="G720" s="7">
        <f t="shared" si="31"/>
        <v>0.33333333333333331</v>
      </c>
      <c r="H720" s="7">
        <f t="shared" si="32"/>
        <v>0.12500000000000006</v>
      </c>
      <c r="I720" t="str">
        <f>IFERROR(IF(INDEX('Attandance Tracker'!$D$3:$AH$50,MATCH($A720,'Attandance Tracker'!$A$3:$A$50,0),DAY($D720))="P","Present",IF(INDEX('Attandance Tracker'!$D$3:$AH$50,MATCH($A720,'Attandance Tracker'!$A$3:$A$50,0),DAY($D720))="A","Absent","Leave")),"")</f>
        <v>Present</v>
      </c>
    </row>
    <row r="721" spans="1:9" x14ac:dyDescent="0.25">
      <c r="A721">
        <v>1024</v>
      </c>
      <c r="B721" t="str">
        <f>_xlfn.IFNA(INDEX('Attandance Tracker'!$B$3:$B$30,MATCH($A721,'Attandance Tracker'!$A$3:$A$30,0)),"")</f>
        <v xml:space="preserve"> Komal</v>
      </c>
      <c r="C721" s="14" t="str">
        <f>_xlfn.IFNA(INDEX('Attandance Tracker'!$C$3:$C$30,MATCH($A721,'Attandance Tracker'!$A$3:$A$30,0)),"")</f>
        <v>Sales</v>
      </c>
      <c r="D721" s="14">
        <v>5</v>
      </c>
      <c r="E721" s="7">
        <v>0.375</v>
      </c>
      <c r="F721" s="7">
        <v>0.79166666666666663</v>
      </c>
      <c r="G721" s="7">
        <f t="shared" si="31"/>
        <v>0.33333333333333331</v>
      </c>
      <c r="H721" s="7">
        <f t="shared" si="32"/>
        <v>8.3333333333333315E-2</v>
      </c>
      <c r="I721" t="str">
        <f>IFERROR(IF(INDEX('Attandance Tracker'!$D$3:$AH$50,MATCH($A721,'Attandance Tracker'!$A$3:$A$50,0),DAY($D721))="P","Present",IF(INDEX('Attandance Tracker'!$D$3:$AH$50,MATCH($A721,'Attandance Tracker'!$A$3:$A$50,0),DAY($D721))="A","Absent","Leave")),"")</f>
        <v>Present</v>
      </c>
    </row>
    <row r="722" spans="1:9" x14ac:dyDescent="0.25">
      <c r="A722">
        <v>1024</v>
      </c>
      <c r="B722" t="str">
        <f>_xlfn.IFNA(INDEX('Attandance Tracker'!$B$3:$B$30,MATCH($A722,'Attandance Tracker'!$A$3:$A$30,0)),"")</f>
        <v xml:space="preserve"> Komal</v>
      </c>
      <c r="C722" s="14" t="str">
        <f>_xlfn.IFNA(INDEX('Attandance Tracker'!$C$3:$C$30,MATCH($A722,'Attandance Tracker'!$A$3:$A$30,0)),"")</f>
        <v>Sales</v>
      </c>
      <c r="D722" s="14">
        <v>6</v>
      </c>
      <c r="E722" s="7">
        <v>0.375</v>
      </c>
      <c r="F722" s="7">
        <v>0.83333333333333337</v>
      </c>
      <c r="G722" s="7">
        <f t="shared" si="31"/>
        <v>0.33333333333333331</v>
      </c>
      <c r="H722" s="7">
        <f t="shared" si="32"/>
        <v>0.12500000000000006</v>
      </c>
      <c r="I722" t="str">
        <f>IFERROR(IF(INDEX('Attandance Tracker'!$D$3:$AH$50,MATCH($A722,'Attandance Tracker'!$A$3:$A$50,0),DAY($D722))="P","Present",IF(INDEX('Attandance Tracker'!$D$3:$AH$50,MATCH($A722,'Attandance Tracker'!$A$3:$A$50,0),DAY($D722))="A","Absent","Leave")),"")</f>
        <v>Present</v>
      </c>
    </row>
    <row r="723" spans="1:9" x14ac:dyDescent="0.25">
      <c r="A723">
        <v>1024</v>
      </c>
      <c r="B723" t="str">
        <f>_xlfn.IFNA(INDEX('Attandance Tracker'!$B$3:$B$30,MATCH($A723,'Attandance Tracker'!$A$3:$A$30,0)),"")</f>
        <v xml:space="preserve"> Komal</v>
      </c>
      <c r="C723" s="14" t="str">
        <f>_xlfn.IFNA(INDEX('Attandance Tracker'!$C$3:$C$30,MATCH($A723,'Attandance Tracker'!$A$3:$A$30,0)),"")</f>
        <v>Sales</v>
      </c>
      <c r="D723" s="14">
        <v>7</v>
      </c>
      <c r="E723" s="7">
        <v>0.33333333333333331</v>
      </c>
      <c r="F723" s="7">
        <v>0.75</v>
      </c>
      <c r="G723" s="7">
        <f t="shared" si="31"/>
        <v>0.33333333333333331</v>
      </c>
      <c r="H723" s="7">
        <f t="shared" si="32"/>
        <v>8.333333333333337E-2</v>
      </c>
      <c r="I723" t="str">
        <f>IFERROR(IF(INDEX('Attandance Tracker'!$D$3:$AH$50,MATCH($A723,'Attandance Tracker'!$A$3:$A$50,0),DAY($D723))="P","Present",IF(INDEX('Attandance Tracker'!$D$3:$AH$50,MATCH($A723,'Attandance Tracker'!$A$3:$A$50,0),DAY($D723))="A","Absent","Leave")),"")</f>
        <v>Present</v>
      </c>
    </row>
    <row r="724" spans="1:9" x14ac:dyDescent="0.25">
      <c r="A724">
        <v>1024</v>
      </c>
      <c r="B724" t="str">
        <f>_xlfn.IFNA(INDEX('Attandance Tracker'!$B$3:$B$30,MATCH($A724,'Attandance Tracker'!$A$3:$A$30,0)),"")</f>
        <v xml:space="preserve"> Komal</v>
      </c>
      <c r="C724" s="14" t="str">
        <f>_xlfn.IFNA(INDEX('Attandance Tracker'!$C$3:$C$30,MATCH($A724,'Attandance Tracker'!$A$3:$A$30,0)),"")</f>
        <v>Sales</v>
      </c>
      <c r="D724" s="14">
        <v>8</v>
      </c>
      <c r="E724" s="7">
        <v>0.33333333333333331</v>
      </c>
      <c r="F724" s="7">
        <v>0.83333333333333337</v>
      </c>
      <c r="G724" s="7">
        <f t="shared" si="31"/>
        <v>0.33333333333333331</v>
      </c>
      <c r="H724" s="7">
        <f t="shared" si="32"/>
        <v>0.16666666666666669</v>
      </c>
      <c r="I724" t="str">
        <f>IFERROR(IF(INDEX('Attandance Tracker'!$D$3:$AH$50,MATCH($A724,'Attandance Tracker'!$A$3:$A$50,0),DAY($D724))="P","Present",IF(INDEX('Attandance Tracker'!$D$3:$AH$50,MATCH($A724,'Attandance Tracker'!$A$3:$A$50,0),DAY($D724))="A","Absent","Leave")),"")</f>
        <v>Present</v>
      </c>
    </row>
    <row r="725" spans="1:9" x14ac:dyDescent="0.25">
      <c r="A725">
        <v>1024</v>
      </c>
      <c r="B725" t="str">
        <f>_xlfn.IFNA(INDEX('Attandance Tracker'!$B$3:$B$30,MATCH($A725,'Attandance Tracker'!$A$3:$A$30,0)),"")</f>
        <v xml:space="preserve"> Komal</v>
      </c>
      <c r="C725" s="14" t="str">
        <f>_xlfn.IFNA(INDEX('Attandance Tracker'!$C$3:$C$30,MATCH($A725,'Attandance Tracker'!$A$3:$A$30,0)),"")</f>
        <v>Sales</v>
      </c>
      <c r="D725" s="14">
        <v>9</v>
      </c>
      <c r="E725" s="7">
        <v>0.33333333333333331</v>
      </c>
      <c r="F725" s="7">
        <v>0.83333333333333337</v>
      </c>
      <c r="G725" s="7">
        <f t="shared" si="31"/>
        <v>0.33333333333333331</v>
      </c>
      <c r="H725" s="7">
        <f t="shared" si="32"/>
        <v>0.16666666666666669</v>
      </c>
      <c r="I725" t="str">
        <f>IFERROR(IF(INDEX('Attandance Tracker'!$D$3:$AH$50,MATCH($A725,'Attandance Tracker'!$A$3:$A$50,0),DAY($D725))="P","Present",IF(INDEX('Attandance Tracker'!$D$3:$AH$50,MATCH($A725,'Attandance Tracker'!$A$3:$A$50,0),DAY($D725))="A","Absent","Leave")),"")</f>
        <v>Present</v>
      </c>
    </row>
    <row r="726" spans="1:9" x14ac:dyDescent="0.25">
      <c r="A726">
        <v>1024</v>
      </c>
      <c r="B726" t="str">
        <f>_xlfn.IFNA(INDEX('Attandance Tracker'!$B$3:$B$30,MATCH($A726,'Attandance Tracker'!$A$3:$A$30,0)),"")</f>
        <v xml:space="preserve"> Komal</v>
      </c>
      <c r="C726" s="14" t="str">
        <f>_xlfn.IFNA(INDEX('Attandance Tracker'!$C$3:$C$30,MATCH($A726,'Attandance Tracker'!$A$3:$A$30,0)),"")</f>
        <v>Sales</v>
      </c>
      <c r="D726" s="14">
        <v>10</v>
      </c>
      <c r="E726" s="7">
        <v>0.33333333333333331</v>
      </c>
      <c r="F726" s="7">
        <v>0.79166666666666663</v>
      </c>
      <c r="G726" s="7">
        <f t="shared" si="31"/>
        <v>0.33333333333333331</v>
      </c>
      <c r="H726" s="7">
        <f t="shared" si="32"/>
        <v>0.125</v>
      </c>
      <c r="I726" t="str">
        <f>IFERROR(IF(INDEX('Attandance Tracker'!$D$3:$AH$50,MATCH($A726,'Attandance Tracker'!$A$3:$A$50,0),DAY($D726))="P","Present",IF(INDEX('Attandance Tracker'!$D$3:$AH$50,MATCH($A726,'Attandance Tracker'!$A$3:$A$50,0),DAY($D726))="A","Absent","Leave")),"")</f>
        <v>Present</v>
      </c>
    </row>
    <row r="727" spans="1:9" x14ac:dyDescent="0.25">
      <c r="A727">
        <v>1024</v>
      </c>
      <c r="B727" t="str">
        <f>_xlfn.IFNA(INDEX('Attandance Tracker'!$B$3:$B$30,MATCH($A727,'Attandance Tracker'!$A$3:$A$30,0)),"")</f>
        <v xml:space="preserve"> Komal</v>
      </c>
      <c r="C727" s="14" t="str">
        <f>_xlfn.IFNA(INDEX('Attandance Tracker'!$C$3:$C$30,MATCH($A727,'Attandance Tracker'!$A$3:$A$30,0)),"")</f>
        <v>Sales</v>
      </c>
      <c r="D727" s="14">
        <v>11</v>
      </c>
      <c r="E727" s="7">
        <v>0.33333333333333331</v>
      </c>
      <c r="F727" s="7">
        <v>0.83333333333333337</v>
      </c>
      <c r="G727" s="7">
        <f t="shared" si="31"/>
        <v>0.33333333333333331</v>
      </c>
      <c r="H727" s="7">
        <f t="shared" si="32"/>
        <v>0.16666666666666669</v>
      </c>
      <c r="I727" t="str">
        <f>IFERROR(IF(INDEX('Attandance Tracker'!$D$3:$AH$50,MATCH($A727,'Attandance Tracker'!$A$3:$A$50,0),DAY($D727))="P","Present",IF(INDEX('Attandance Tracker'!$D$3:$AH$50,MATCH($A727,'Attandance Tracker'!$A$3:$A$50,0),DAY($D727))="A","Absent","Leave")),"")</f>
        <v>Present</v>
      </c>
    </row>
    <row r="728" spans="1:9" x14ac:dyDescent="0.25">
      <c r="A728">
        <v>1024</v>
      </c>
      <c r="B728" t="str">
        <f>_xlfn.IFNA(INDEX('Attandance Tracker'!$B$3:$B$30,MATCH($A728,'Attandance Tracker'!$A$3:$A$30,0)),"")</f>
        <v xml:space="preserve"> Komal</v>
      </c>
      <c r="C728" s="14" t="str">
        <f>_xlfn.IFNA(INDEX('Attandance Tracker'!$C$3:$C$30,MATCH($A728,'Attandance Tracker'!$A$3:$A$30,0)),"")</f>
        <v>Sales</v>
      </c>
      <c r="D728" s="14">
        <v>12</v>
      </c>
      <c r="E728" s="7">
        <v>0.33333333333333331</v>
      </c>
      <c r="F728" s="7">
        <v>0.75</v>
      </c>
      <c r="G728" s="7">
        <f t="shared" si="31"/>
        <v>0.33333333333333331</v>
      </c>
      <c r="H728" s="7">
        <f t="shared" si="32"/>
        <v>8.333333333333337E-2</v>
      </c>
      <c r="I728" t="str">
        <f>IFERROR(IF(INDEX('Attandance Tracker'!$D$3:$AH$50,MATCH($A728,'Attandance Tracker'!$A$3:$A$50,0),DAY($D728))="P","Present",IF(INDEX('Attandance Tracker'!$D$3:$AH$50,MATCH($A728,'Attandance Tracker'!$A$3:$A$50,0),DAY($D728))="A","Absent","Leave")),"")</f>
        <v>Present</v>
      </c>
    </row>
    <row r="729" spans="1:9" x14ac:dyDescent="0.25">
      <c r="A729">
        <v>1024</v>
      </c>
      <c r="B729" t="str">
        <f>_xlfn.IFNA(INDEX('Attandance Tracker'!$B$3:$B$30,MATCH($A729,'Attandance Tracker'!$A$3:$A$30,0)),"")</f>
        <v xml:space="preserve"> Komal</v>
      </c>
      <c r="C729" s="14" t="str">
        <f>_xlfn.IFNA(INDEX('Attandance Tracker'!$C$3:$C$30,MATCH($A729,'Attandance Tracker'!$A$3:$A$30,0)),"")</f>
        <v>Sales</v>
      </c>
      <c r="D729" s="14">
        <v>13</v>
      </c>
      <c r="E729" s="7">
        <v>0.33333333333333331</v>
      </c>
      <c r="F729" s="7">
        <v>0.79166666666666663</v>
      </c>
      <c r="G729" s="7">
        <f t="shared" si="31"/>
        <v>0.33333333333333331</v>
      </c>
      <c r="H729" s="7">
        <f t="shared" si="32"/>
        <v>0.125</v>
      </c>
      <c r="I729" t="str">
        <f>IFERROR(IF(INDEX('Attandance Tracker'!$D$3:$AH$50,MATCH($A729,'Attandance Tracker'!$A$3:$A$50,0),DAY($D729))="P","Present",IF(INDEX('Attandance Tracker'!$D$3:$AH$50,MATCH($A729,'Attandance Tracker'!$A$3:$A$50,0),DAY($D729))="A","Absent","Leave")),"")</f>
        <v>Present</v>
      </c>
    </row>
    <row r="730" spans="1:9" x14ac:dyDescent="0.25">
      <c r="A730">
        <v>1024</v>
      </c>
      <c r="B730" t="str">
        <f>_xlfn.IFNA(INDEX('Attandance Tracker'!$B$3:$B$30,MATCH($A730,'Attandance Tracker'!$A$3:$A$30,0)),"")</f>
        <v xml:space="preserve"> Komal</v>
      </c>
      <c r="C730" s="14" t="str">
        <f>_xlfn.IFNA(INDEX('Attandance Tracker'!$C$3:$C$30,MATCH($A730,'Attandance Tracker'!$A$3:$A$30,0)),"")</f>
        <v>Sales</v>
      </c>
      <c r="D730" s="14">
        <v>14</v>
      </c>
      <c r="E730" s="7">
        <v>0.375</v>
      </c>
      <c r="F730" s="7">
        <v>0.83333333333333337</v>
      </c>
      <c r="G730" s="7">
        <f t="shared" si="31"/>
        <v>0.33333333333333331</v>
      </c>
      <c r="H730" s="7">
        <f t="shared" si="32"/>
        <v>0.12500000000000006</v>
      </c>
      <c r="I730" t="str">
        <f>IFERROR(IF(INDEX('Attandance Tracker'!$D$3:$AH$50,MATCH($A730,'Attandance Tracker'!$A$3:$A$50,0),DAY($D730))="P","Present",IF(INDEX('Attandance Tracker'!$D$3:$AH$50,MATCH($A730,'Attandance Tracker'!$A$3:$A$50,0),DAY($D730))="A","Absent","Leave")),"")</f>
        <v>Present</v>
      </c>
    </row>
    <row r="731" spans="1:9" x14ac:dyDescent="0.25">
      <c r="A731">
        <v>1024</v>
      </c>
      <c r="B731" t="str">
        <f>_xlfn.IFNA(INDEX('Attandance Tracker'!$B$3:$B$30,MATCH($A731,'Attandance Tracker'!$A$3:$A$30,0)),"")</f>
        <v xml:space="preserve"> Komal</v>
      </c>
      <c r="C731" s="14" t="str">
        <f>_xlfn.IFNA(INDEX('Attandance Tracker'!$C$3:$C$30,MATCH($A731,'Attandance Tracker'!$A$3:$A$30,0)),"")</f>
        <v>Sales</v>
      </c>
      <c r="D731" s="14">
        <v>15</v>
      </c>
      <c r="E731" s="7">
        <v>0.375</v>
      </c>
      <c r="F731" s="7">
        <v>0.75</v>
      </c>
      <c r="G731" s="7">
        <f t="shared" si="31"/>
        <v>0.33333333333333331</v>
      </c>
      <c r="H731" s="7">
        <f t="shared" si="32"/>
        <v>4.1666666666666685E-2</v>
      </c>
      <c r="I731" t="str">
        <f>IFERROR(IF(INDEX('Attandance Tracker'!$D$3:$AH$50,MATCH($A731,'Attandance Tracker'!$A$3:$A$50,0),DAY($D731))="P","Present",IF(INDEX('Attandance Tracker'!$D$3:$AH$50,MATCH($A731,'Attandance Tracker'!$A$3:$A$50,0),DAY($D731))="A","Absent","Leave")),"")</f>
        <v>Present</v>
      </c>
    </row>
    <row r="732" spans="1:9" x14ac:dyDescent="0.25">
      <c r="A732">
        <v>1024</v>
      </c>
      <c r="B732" t="str">
        <f>_xlfn.IFNA(INDEX('Attandance Tracker'!$B$3:$B$30,MATCH($A732,'Attandance Tracker'!$A$3:$A$30,0)),"")</f>
        <v xml:space="preserve"> Komal</v>
      </c>
      <c r="C732" s="14" t="str">
        <f>_xlfn.IFNA(INDEX('Attandance Tracker'!$C$3:$C$30,MATCH($A732,'Attandance Tracker'!$A$3:$A$30,0)),"")</f>
        <v>Sales</v>
      </c>
      <c r="D732" s="14">
        <v>16</v>
      </c>
      <c r="E732" s="7">
        <v>0.375</v>
      </c>
      <c r="F732" s="7">
        <v>0.83333333333333337</v>
      </c>
      <c r="G732" s="7">
        <f t="shared" si="31"/>
        <v>0.33333333333333331</v>
      </c>
      <c r="H732" s="7">
        <f t="shared" si="32"/>
        <v>0.12500000000000006</v>
      </c>
      <c r="I732" t="str">
        <f>IFERROR(IF(INDEX('Attandance Tracker'!$D$3:$AH$50,MATCH($A732,'Attandance Tracker'!$A$3:$A$50,0),DAY($D732))="P","Present",IF(INDEX('Attandance Tracker'!$D$3:$AH$50,MATCH($A732,'Attandance Tracker'!$A$3:$A$50,0),DAY($D732))="A","Absent","Leave")),"")</f>
        <v>Present</v>
      </c>
    </row>
    <row r="733" spans="1:9" x14ac:dyDescent="0.25">
      <c r="A733">
        <v>1024</v>
      </c>
      <c r="B733" t="str">
        <f>_xlfn.IFNA(INDEX('Attandance Tracker'!$B$3:$B$30,MATCH($A733,'Attandance Tracker'!$A$3:$A$30,0)),"")</f>
        <v xml:space="preserve"> Komal</v>
      </c>
      <c r="C733" s="14" t="str">
        <f>_xlfn.IFNA(INDEX('Attandance Tracker'!$C$3:$C$30,MATCH($A733,'Attandance Tracker'!$A$3:$A$30,0)),"")</f>
        <v>Sales</v>
      </c>
      <c r="D733" s="14">
        <v>17</v>
      </c>
      <c r="E733" s="7">
        <v>0.375</v>
      </c>
      <c r="F733" s="7">
        <v>0.83333333333333337</v>
      </c>
      <c r="G733" s="7">
        <f t="shared" si="31"/>
        <v>0.33333333333333331</v>
      </c>
      <c r="H733" s="7">
        <f t="shared" si="32"/>
        <v>0.12500000000000006</v>
      </c>
      <c r="I733" t="str">
        <f>IFERROR(IF(INDEX('Attandance Tracker'!$D$3:$AH$50,MATCH($A733,'Attandance Tracker'!$A$3:$A$50,0),DAY($D733))="P","Present",IF(INDEX('Attandance Tracker'!$D$3:$AH$50,MATCH($A733,'Attandance Tracker'!$A$3:$A$50,0),DAY($D733))="A","Absent","Leave")),"")</f>
        <v>Present</v>
      </c>
    </row>
    <row r="734" spans="1:9" x14ac:dyDescent="0.25">
      <c r="A734">
        <v>1024</v>
      </c>
      <c r="B734" t="str">
        <f>_xlfn.IFNA(INDEX('Attandance Tracker'!$B$3:$B$30,MATCH($A734,'Attandance Tracker'!$A$3:$A$30,0)),"")</f>
        <v xml:space="preserve"> Komal</v>
      </c>
      <c r="C734" s="14" t="str">
        <f>_xlfn.IFNA(INDEX('Attandance Tracker'!$C$3:$C$30,MATCH($A734,'Attandance Tracker'!$A$3:$A$30,0)),"")</f>
        <v>Sales</v>
      </c>
      <c r="D734" s="14">
        <v>18</v>
      </c>
      <c r="E734" s="7">
        <v>0.33333333333333331</v>
      </c>
      <c r="F734" s="7">
        <v>0.79166666666666663</v>
      </c>
      <c r="G734" s="7">
        <f t="shared" si="31"/>
        <v>0.33333333333333331</v>
      </c>
      <c r="H734" s="7">
        <f t="shared" si="32"/>
        <v>0.125</v>
      </c>
      <c r="I734" t="str">
        <f>IFERROR(IF(INDEX('Attandance Tracker'!$D$3:$AH$50,MATCH($A734,'Attandance Tracker'!$A$3:$A$50,0),DAY($D734))="P","Present",IF(INDEX('Attandance Tracker'!$D$3:$AH$50,MATCH($A734,'Attandance Tracker'!$A$3:$A$50,0),DAY($D734))="A","Absent","Leave")),"")</f>
        <v>Present</v>
      </c>
    </row>
    <row r="735" spans="1:9" x14ac:dyDescent="0.25">
      <c r="A735">
        <v>1024</v>
      </c>
      <c r="B735" t="str">
        <f>_xlfn.IFNA(INDEX('Attandance Tracker'!$B$3:$B$30,MATCH($A735,'Attandance Tracker'!$A$3:$A$30,0)),"")</f>
        <v xml:space="preserve"> Komal</v>
      </c>
      <c r="C735" s="14" t="str">
        <f>_xlfn.IFNA(INDEX('Attandance Tracker'!$C$3:$C$30,MATCH($A735,'Attandance Tracker'!$A$3:$A$30,0)),"")</f>
        <v>Sales</v>
      </c>
      <c r="D735" s="14">
        <v>19</v>
      </c>
      <c r="E735" s="7">
        <v>0.33333333333333331</v>
      </c>
      <c r="F735" s="7">
        <v>0.83333333333333337</v>
      </c>
      <c r="G735" s="7">
        <f t="shared" si="31"/>
        <v>0.33333333333333331</v>
      </c>
      <c r="H735" s="7">
        <f t="shared" si="32"/>
        <v>0.16666666666666669</v>
      </c>
      <c r="I735" t="str">
        <f>IFERROR(IF(INDEX('Attandance Tracker'!$D$3:$AH$50,MATCH($A735,'Attandance Tracker'!$A$3:$A$50,0),DAY($D735))="P","Present",IF(INDEX('Attandance Tracker'!$D$3:$AH$50,MATCH($A735,'Attandance Tracker'!$A$3:$A$50,0),DAY($D735))="A","Absent","Leave")),"")</f>
        <v>Present</v>
      </c>
    </row>
    <row r="736" spans="1:9" x14ac:dyDescent="0.25">
      <c r="A736">
        <v>1024</v>
      </c>
      <c r="B736" t="str">
        <f>_xlfn.IFNA(INDEX('Attandance Tracker'!$B$3:$B$30,MATCH($A736,'Attandance Tracker'!$A$3:$A$30,0)),"")</f>
        <v xml:space="preserve"> Komal</v>
      </c>
      <c r="C736" s="14" t="str">
        <f>_xlfn.IFNA(INDEX('Attandance Tracker'!$C$3:$C$30,MATCH($A736,'Attandance Tracker'!$A$3:$A$30,0)),"")</f>
        <v>Sales</v>
      </c>
      <c r="D736" s="14">
        <v>20</v>
      </c>
      <c r="E736" s="7">
        <v>0.33333333333333331</v>
      </c>
      <c r="F736" s="7">
        <v>0.75</v>
      </c>
      <c r="G736" s="7">
        <f t="shared" si="31"/>
        <v>0.33333333333333331</v>
      </c>
      <c r="H736" s="7">
        <f t="shared" si="32"/>
        <v>8.333333333333337E-2</v>
      </c>
      <c r="I736" t="str">
        <f>IFERROR(IF(INDEX('Attandance Tracker'!$D$3:$AH$50,MATCH($A736,'Attandance Tracker'!$A$3:$A$50,0),DAY($D736))="P","Present",IF(INDEX('Attandance Tracker'!$D$3:$AH$50,MATCH($A736,'Attandance Tracker'!$A$3:$A$50,0),DAY($D736))="A","Absent","Leave")),"")</f>
        <v>Present</v>
      </c>
    </row>
    <row r="737" spans="1:9" x14ac:dyDescent="0.25">
      <c r="A737">
        <v>1024</v>
      </c>
      <c r="B737" t="str">
        <f>_xlfn.IFNA(INDEX('Attandance Tracker'!$B$3:$B$30,MATCH($A737,'Attandance Tracker'!$A$3:$A$30,0)),"")</f>
        <v xml:space="preserve"> Komal</v>
      </c>
      <c r="C737" s="14" t="str">
        <f>_xlfn.IFNA(INDEX('Attandance Tracker'!$C$3:$C$30,MATCH($A737,'Attandance Tracker'!$A$3:$A$30,0)),"")</f>
        <v>Sales</v>
      </c>
      <c r="D737" s="14">
        <v>21</v>
      </c>
      <c r="E737" s="7">
        <v>0.33333333333333331</v>
      </c>
      <c r="F737" s="7">
        <v>0.83333333333333337</v>
      </c>
      <c r="G737" s="7">
        <f t="shared" si="31"/>
        <v>0.33333333333333331</v>
      </c>
      <c r="H737" s="7">
        <f t="shared" si="32"/>
        <v>0.16666666666666669</v>
      </c>
      <c r="I737" t="str">
        <f>IFERROR(IF(INDEX('Attandance Tracker'!$D$3:$AH$50,MATCH($A737,'Attandance Tracker'!$A$3:$A$50,0),DAY($D737))="P","Present",IF(INDEX('Attandance Tracker'!$D$3:$AH$50,MATCH($A737,'Attandance Tracker'!$A$3:$A$50,0),DAY($D737))="A","Absent","Leave")),"")</f>
        <v>Present</v>
      </c>
    </row>
    <row r="738" spans="1:9" x14ac:dyDescent="0.25">
      <c r="A738">
        <v>1024</v>
      </c>
      <c r="B738" t="str">
        <f>_xlfn.IFNA(INDEX('Attandance Tracker'!$B$3:$B$30,MATCH($A738,'Attandance Tracker'!$A$3:$A$30,0)),"")</f>
        <v xml:space="preserve"> Komal</v>
      </c>
      <c r="C738" s="14" t="str">
        <f>_xlfn.IFNA(INDEX('Attandance Tracker'!$C$3:$C$30,MATCH($A738,'Attandance Tracker'!$A$3:$A$30,0)),"")</f>
        <v>Sales</v>
      </c>
      <c r="D738" s="14">
        <v>22</v>
      </c>
      <c r="E738" s="7">
        <v>0.33333333333333331</v>
      </c>
      <c r="F738" s="7">
        <v>0.83333333333333337</v>
      </c>
      <c r="G738" s="7">
        <f t="shared" si="31"/>
        <v>0.33333333333333331</v>
      </c>
      <c r="H738" s="7">
        <f t="shared" si="32"/>
        <v>0.16666666666666669</v>
      </c>
      <c r="I738" t="str">
        <f>IFERROR(IF(INDEX('Attandance Tracker'!$D$3:$AH$50,MATCH($A738,'Attandance Tracker'!$A$3:$A$50,0),DAY($D738))="P","Present",IF(INDEX('Attandance Tracker'!$D$3:$AH$50,MATCH($A738,'Attandance Tracker'!$A$3:$A$50,0),DAY($D738))="A","Absent","Leave")),"")</f>
        <v>Present</v>
      </c>
    </row>
    <row r="739" spans="1:9" x14ac:dyDescent="0.25">
      <c r="A739">
        <v>1024</v>
      </c>
      <c r="B739" t="str">
        <f>_xlfn.IFNA(INDEX('Attandance Tracker'!$B$3:$B$30,MATCH($A739,'Attandance Tracker'!$A$3:$A$30,0)),"")</f>
        <v xml:space="preserve"> Komal</v>
      </c>
      <c r="C739" s="14" t="str">
        <f>_xlfn.IFNA(INDEX('Attandance Tracker'!$C$3:$C$30,MATCH($A739,'Attandance Tracker'!$A$3:$A$30,0)),"")</f>
        <v>Sales</v>
      </c>
      <c r="D739" s="14">
        <v>23</v>
      </c>
      <c r="E739" s="7">
        <v>0.33333333333333331</v>
      </c>
      <c r="F739" s="7">
        <v>0.79166666666666663</v>
      </c>
      <c r="G739" s="7">
        <f t="shared" si="31"/>
        <v>0.33333333333333331</v>
      </c>
      <c r="H739" s="7">
        <f t="shared" si="32"/>
        <v>0.125</v>
      </c>
      <c r="I739" t="str">
        <f>IFERROR(IF(INDEX('Attandance Tracker'!$D$3:$AH$50,MATCH($A739,'Attandance Tracker'!$A$3:$A$50,0),DAY($D739))="P","Present",IF(INDEX('Attandance Tracker'!$D$3:$AH$50,MATCH($A739,'Attandance Tracker'!$A$3:$A$50,0),DAY($D739))="A","Absent","Leave")),"")</f>
        <v>Present</v>
      </c>
    </row>
    <row r="740" spans="1:9" x14ac:dyDescent="0.25">
      <c r="A740">
        <v>1024</v>
      </c>
      <c r="B740" t="str">
        <f>_xlfn.IFNA(INDEX('Attandance Tracker'!$B$3:$B$30,MATCH($A740,'Attandance Tracker'!$A$3:$A$30,0)),"")</f>
        <v xml:space="preserve"> Komal</v>
      </c>
      <c r="C740" s="14" t="str">
        <f>_xlfn.IFNA(INDEX('Attandance Tracker'!$C$3:$C$30,MATCH($A740,'Attandance Tracker'!$A$3:$A$30,0)),"")</f>
        <v>Sales</v>
      </c>
      <c r="D740" s="14">
        <v>24</v>
      </c>
      <c r="E740" s="7">
        <v>0.33333333333333331</v>
      </c>
      <c r="F740" s="7">
        <v>0.83333333333333337</v>
      </c>
      <c r="G740" s="7">
        <f t="shared" si="31"/>
        <v>0.33333333333333331</v>
      </c>
      <c r="H740" s="7">
        <f t="shared" si="32"/>
        <v>0.16666666666666669</v>
      </c>
      <c r="I740" t="str">
        <f>IFERROR(IF(INDEX('Attandance Tracker'!$D$3:$AH$50,MATCH($A740,'Attandance Tracker'!$A$3:$A$50,0),DAY($D740))="P","Present",IF(INDEX('Attandance Tracker'!$D$3:$AH$50,MATCH($A740,'Attandance Tracker'!$A$3:$A$50,0),DAY($D740))="A","Absent","Leave")),"")</f>
        <v>Present</v>
      </c>
    </row>
    <row r="741" spans="1:9" x14ac:dyDescent="0.25">
      <c r="A741">
        <v>1024</v>
      </c>
      <c r="B741" t="str">
        <f>_xlfn.IFNA(INDEX('Attandance Tracker'!$B$3:$B$30,MATCH($A741,'Attandance Tracker'!$A$3:$A$30,0)),"")</f>
        <v xml:space="preserve"> Komal</v>
      </c>
      <c r="C741" s="14" t="str">
        <f>_xlfn.IFNA(INDEX('Attandance Tracker'!$C$3:$C$30,MATCH($A741,'Attandance Tracker'!$A$3:$A$30,0)),"")</f>
        <v>Sales</v>
      </c>
      <c r="D741" s="14">
        <v>25</v>
      </c>
      <c r="E741" s="7">
        <v>0.375</v>
      </c>
      <c r="F741" s="7">
        <v>0.75</v>
      </c>
      <c r="G741" s="7">
        <f t="shared" si="31"/>
        <v>0.33333333333333331</v>
      </c>
      <c r="H741" s="7">
        <f t="shared" si="32"/>
        <v>4.1666666666666685E-2</v>
      </c>
      <c r="I741" t="str">
        <f>IFERROR(IF(INDEX('Attandance Tracker'!$D$3:$AH$50,MATCH($A741,'Attandance Tracker'!$A$3:$A$50,0),DAY($D741))="P","Present",IF(INDEX('Attandance Tracker'!$D$3:$AH$50,MATCH($A741,'Attandance Tracker'!$A$3:$A$50,0),DAY($D741))="A","Absent","Leave")),"")</f>
        <v>Present</v>
      </c>
    </row>
    <row r="742" spans="1:9" x14ac:dyDescent="0.25">
      <c r="A742">
        <v>1024</v>
      </c>
      <c r="B742" t="str">
        <f>_xlfn.IFNA(INDEX('Attandance Tracker'!$B$3:$B$30,MATCH($A742,'Attandance Tracker'!$A$3:$A$30,0)),"")</f>
        <v xml:space="preserve"> Komal</v>
      </c>
      <c r="C742" s="14" t="str">
        <f>_xlfn.IFNA(INDEX('Attandance Tracker'!$C$3:$C$30,MATCH($A742,'Attandance Tracker'!$A$3:$A$30,0)),"")</f>
        <v>Sales</v>
      </c>
      <c r="D742" s="14">
        <v>26</v>
      </c>
      <c r="E742" s="7">
        <v>0.375</v>
      </c>
      <c r="F742" s="7">
        <v>0.83333333333333337</v>
      </c>
      <c r="G742" s="7">
        <f t="shared" si="31"/>
        <v>0.33333333333333331</v>
      </c>
      <c r="H742" s="7">
        <f t="shared" si="32"/>
        <v>0.12500000000000006</v>
      </c>
      <c r="I742" t="str">
        <f>IFERROR(IF(INDEX('Attandance Tracker'!$D$3:$AH$50,MATCH($A742,'Attandance Tracker'!$A$3:$A$50,0),DAY($D742))="P","Present",IF(INDEX('Attandance Tracker'!$D$3:$AH$50,MATCH($A742,'Attandance Tracker'!$A$3:$A$50,0),DAY($D742))="A","Absent","Leave")),"")</f>
        <v>Present</v>
      </c>
    </row>
    <row r="743" spans="1:9" x14ac:dyDescent="0.25">
      <c r="A743">
        <v>1024</v>
      </c>
      <c r="B743" t="str">
        <f>_xlfn.IFNA(INDEX('Attandance Tracker'!$B$3:$B$30,MATCH($A743,'Attandance Tracker'!$A$3:$A$30,0)),"")</f>
        <v xml:space="preserve"> Komal</v>
      </c>
      <c r="C743" s="14" t="str">
        <f>_xlfn.IFNA(INDEX('Attandance Tracker'!$C$3:$C$30,MATCH($A743,'Attandance Tracker'!$A$3:$A$30,0)),"")</f>
        <v>Sales</v>
      </c>
      <c r="D743" s="14">
        <v>27</v>
      </c>
      <c r="E743" s="7">
        <v>0.33333333333333331</v>
      </c>
      <c r="F743" s="7">
        <v>0.83333333333333337</v>
      </c>
      <c r="G743" s="7">
        <f t="shared" si="31"/>
        <v>0.33333333333333331</v>
      </c>
      <c r="H743" s="7">
        <f t="shared" si="32"/>
        <v>0.16666666666666669</v>
      </c>
      <c r="I743" t="str">
        <f>IFERROR(IF(INDEX('Attandance Tracker'!$D$3:$AH$50,MATCH($A743,'Attandance Tracker'!$A$3:$A$50,0),DAY($D743))="P","Present",IF(INDEX('Attandance Tracker'!$D$3:$AH$50,MATCH($A743,'Attandance Tracker'!$A$3:$A$50,0),DAY($D743))="A","Absent","Leave")),"")</f>
        <v>Present</v>
      </c>
    </row>
    <row r="744" spans="1:9" x14ac:dyDescent="0.25">
      <c r="A744">
        <v>1024</v>
      </c>
      <c r="B744" t="str">
        <f>_xlfn.IFNA(INDEX('Attandance Tracker'!$B$3:$B$30,MATCH($A744,'Attandance Tracker'!$A$3:$A$30,0)),"")</f>
        <v xml:space="preserve"> Komal</v>
      </c>
      <c r="C744" s="14" t="str">
        <f>_xlfn.IFNA(INDEX('Attandance Tracker'!$C$3:$C$30,MATCH($A744,'Attandance Tracker'!$A$3:$A$30,0)),"")</f>
        <v>Sales</v>
      </c>
      <c r="D744" s="14">
        <v>28</v>
      </c>
      <c r="E744" s="7">
        <v>0.375</v>
      </c>
      <c r="F744" s="7">
        <v>0.83333333333333337</v>
      </c>
      <c r="G744" s="7">
        <f t="shared" si="31"/>
        <v>0.33333333333333331</v>
      </c>
      <c r="H744" s="7">
        <f t="shared" si="32"/>
        <v>0.12500000000000006</v>
      </c>
      <c r="I744" t="str">
        <f>IFERROR(IF(INDEX('Attandance Tracker'!$D$3:$AH$50,MATCH($A744,'Attandance Tracker'!$A$3:$A$50,0),DAY($D744))="P","Present",IF(INDEX('Attandance Tracker'!$D$3:$AH$50,MATCH($A744,'Attandance Tracker'!$A$3:$A$50,0),DAY($D744))="A","Absent","Leave")),"")</f>
        <v>Present</v>
      </c>
    </row>
    <row r="745" spans="1:9" x14ac:dyDescent="0.25">
      <c r="A745">
        <v>1024</v>
      </c>
      <c r="B745" t="str">
        <f>_xlfn.IFNA(INDEX('Attandance Tracker'!$B$3:$B$30,MATCH($A745,'Attandance Tracker'!$A$3:$A$30,0)),"")</f>
        <v xml:space="preserve"> Komal</v>
      </c>
      <c r="C745" s="14" t="str">
        <f>_xlfn.IFNA(INDEX('Attandance Tracker'!$C$3:$C$30,MATCH($A745,'Attandance Tracker'!$A$3:$A$30,0)),"")</f>
        <v>Sales</v>
      </c>
      <c r="D745" s="14">
        <v>29</v>
      </c>
      <c r="E745" s="7">
        <v>0.375</v>
      </c>
      <c r="F745" s="7">
        <v>0.79166666666666663</v>
      </c>
      <c r="G745" s="7">
        <f t="shared" si="31"/>
        <v>0.33333333333333331</v>
      </c>
      <c r="H745" s="7">
        <f t="shared" si="32"/>
        <v>8.3333333333333315E-2</v>
      </c>
      <c r="I745" t="str">
        <f>IFERROR(IF(INDEX('Attandance Tracker'!$D$3:$AH$50,MATCH($A745,'Attandance Tracker'!$A$3:$A$50,0),DAY($D745))="P","Present",IF(INDEX('Attandance Tracker'!$D$3:$AH$50,MATCH($A745,'Attandance Tracker'!$A$3:$A$50,0),DAY($D745))="A","Absent","Leave")),"")</f>
        <v>Present</v>
      </c>
    </row>
    <row r="746" spans="1:9" x14ac:dyDescent="0.25">
      <c r="A746">
        <v>1024</v>
      </c>
      <c r="B746" t="str">
        <f>_xlfn.IFNA(INDEX('Attandance Tracker'!$B$3:$B$30,MATCH($A746,'Attandance Tracker'!$A$3:$A$30,0)),"")</f>
        <v xml:space="preserve"> Komal</v>
      </c>
      <c r="C746" s="14" t="str">
        <f>_xlfn.IFNA(INDEX('Attandance Tracker'!$C$3:$C$30,MATCH($A746,'Attandance Tracker'!$A$3:$A$30,0)),"")</f>
        <v>Sales</v>
      </c>
      <c r="D746" s="14">
        <v>30</v>
      </c>
      <c r="E746" s="7">
        <v>0.375</v>
      </c>
      <c r="F746" s="7">
        <v>0.83333333333333337</v>
      </c>
      <c r="G746" s="7">
        <f t="shared" si="31"/>
        <v>0.33333333333333331</v>
      </c>
      <c r="H746" s="7">
        <f t="shared" si="32"/>
        <v>0.12500000000000006</v>
      </c>
      <c r="I746" t="str">
        <f>IFERROR(IF(INDEX('Attandance Tracker'!$D$3:$AH$50,MATCH($A746,'Attandance Tracker'!$A$3:$A$50,0),DAY($D746))="P","Present",IF(INDEX('Attandance Tracker'!$D$3:$AH$50,MATCH($A746,'Attandance Tracker'!$A$3:$A$50,0),DAY($D746))="A","Absent","Leave")),"")</f>
        <v>Present</v>
      </c>
    </row>
    <row r="747" spans="1:9" x14ac:dyDescent="0.25">
      <c r="A747">
        <v>1024</v>
      </c>
      <c r="B747" t="str">
        <f>_xlfn.IFNA(INDEX('Attandance Tracker'!$B$3:$B$30,MATCH($A747,'Attandance Tracker'!$A$3:$A$30,0)),"")</f>
        <v xml:space="preserve"> Komal</v>
      </c>
      <c r="C747" s="14" t="str">
        <f>_xlfn.IFNA(INDEX('Attandance Tracker'!$C$3:$C$30,MATCH($A747,'Attandance Tracker'!$A$3:$A$30,0)),"")</f>
        <v>Sales</v>
      </c>
      <c r="D747" s="14">
        <v>31</v>
      </c>
      <c r="E747" s="7">
        <v>0.33333333333333331</v>
      </c>
      <c r="F747" s="7">
        <v>0.75</v>
      </c>
      <c r="G747" s="7">
        <f t="shared" si="31"/>
        <v>0.33333333333333331</v>
      </c>
      <c r="H747" s="7">
        <f t="shared" si="32"/>
        <v>8.333333333333337E-2</v>
      </c>
      <c r="I747" t="str">
        <f>IFERROR(IF(INDEX('Attandance Tracker'!$D$3:$AH$50,MATCH($A747,'Attandance Tracker'!$A$3:$A$50,0),DAY($D747))="P","Present",IF(INDEX('Attandance Tracker'!$D$3:$AH$50,MATCH($A747,'Attandance Tracker'!$A$3:$A$50,0),DAY($D747))="A","Absent","Leave")),"")</f>
        <v>Present</v>
      </c>
    </row>
    <row r="748" spans="1:9" x14ac:dyDescent="0.25">
      <c r="A748">
        <v>1025</v>
      </c>
      <c r="B748" t="str">
        <f>_xlfn.IFNA(INDEX('Attandance Tracker'!$B$3:$B$30,MATCH($A748,'Attandance Tracker'!$A$3:$A$30,0)),"")</f>
        <v xml:space="preserve"> Varun</v>
      </c>
      <c r="C748" s="14" t="str">
        <f>_xlfn.IFNA(INDEX('Attandance Tracker'!$C$3:$C$30,MATCH($A748,'Attandance Tracker'!$A$3:$A$30,0)),"")</f>
        <v>Operations</v>
      </c>
      <c r="D748" s="14">
        <v>1</v>
      </c>
      <c r="E748" s="7">
        <v>0.33333333333333331</v>
      </c>
      <c r="F748" s="7">
        <v>0.83333333333333337</v>
      </c>
      <c r="G748" s="7">
        <f t="shared" si="31"/>
        <v>0.33333333333333331</v>
      </c>
      <c r="H748" s="7">
        <f t="shared" si="32"/>
        <v>0.16666666666666669</v>
      </c>
      <c r="I748" t="str">
        <f>IFERROR(IF(INDEX('Attandance Tracker'!$D$3:$AH$50,MATCH($A748,'Attandance Tracker'!$A$3:$A$50,0),DAY($D748))="P","Present",IF(INDEX('Attandance Tracker'!$D$3:$AH$50,MATCH($A748,'Attandance Tracker'!$A$3:$A$50,0),DAY($D748))="A","Absent","Leave")),"")</f>
        <v>Present</v>
      </c>
    </row>
    <row r="749" spans="1:9" x14ac:dyDescent="0.25">
      <c r="A749">
        <v>1025</v>
      </c>
      <c r="B749" t="str">
        <f>_xlfn.IFNA(INDEX('Attandance Tracker'!$B$3:$B$30,MATCH($A749,'Attandance Tracker'!$A$3:$A$30,0)),"")</f>
        <v xml:space="preserve"> Varun</v>
      </c>
      <c r="C749" s="14" t="str">
        <f>_xlfn.IFNA(INDEX('Attandance Tracker'!$C$3:$C$30,MATCH($A749,'Attandance Tracker'!$A$3:$A$30,0)),"")</f>
        <v>Operations</v>
      </c>
      <c r="D749" s="14">
        <v>2</v>
      </c>
      <c r="E749" s="7">
        <v>0.375</v>
      </c>
      <c r="F749" s="7">
        <v>0.83333333333333337</v>
      </c>
      <c r="G749" s="7">
        <f t="shared" si="31"/>
        <v>0.33333333333333331</v>
      </c>
      <c r="H749" s="7">
        <f t="shared" si="32"/>
        <v>0.12500000000000006</v>
      </c>
      <c r="I749" t="str">
        <f>IFERROR(IF(INDEX('Attandance Tracker'!$D$3:$AH$50,MATCH($A749,'Attandance Tracker'!$A$3:$A$50,0),DAY($D749))="P","Present",IF(INDEX('Attandance Tracker'!$D$3:$AH$50,MATCH($A749,'Attandance Tracker'!$A$3:$A$50,0),DAY($D749))="A","Absent","Leave")),"")</f>
        <v>Present</v>
      </c>
    </row>
    <row r="750" spans="1:9" x14ac:dyDescent="0.25">
      <c r="A750">
        <v>1025</v>
      </c>
      <c r="B750" t="str">
        <f>_xlfn.IFNA(INDEX('Attandance Tracker'!$B$3:$B$30,MATCH($A750,'Attandance Tracker'!$A$3:$A$30,0)),"")</f>
        <v xml:space="preserve"> Varun</v>
      </c>
      <c r="C750" s="14" t="str">
        <f>_xlfn.IFNA(INDEX('Attandance Tracker'!$C$3:$C$30,MATCH($A750,'Attandance Tracker'!$A$3:$A$30,0)),"")</f>
        <v>Operations</v>
      </c>
      <c r="D750" s="14">
        <v>3</v>
      </c>
      <c r="E750" s="7">
        <v>0.375</v>
      </c>
      <c r="F750" s="7">
        <v>0.79166666666666663</v>
      </c>
      <c r="G750" s="7">
        <f t="shared" si="31"/>
        <v>0.33333333333333331</v>
      </c>
      <c r="H750" s="7">
        <f t="shared" si="32"/>
        <v>8.3333333333333315E-2</v>
      </c>
      <c r="I750" t="str">
        <f>IFERROR(IF(INDEX('Attandance Tracker'!$D$3:$AH$50,MATCH($A750,'Attandance Tracker'!$A$3:$A$50,0),DAY($D750))="P","Present",IF(INDEX('Attandance Tracker'!$D$3:$AH$50,MATCH($A750,'Attandance Tracker'!$A$3:$A$50,0),DAY($D750))="A","Absent","Leave")),"")</f>
        <v>Present</v>
      </c>
    </row>
    <row r="751" spans="1:9" x14ac:dyDescent="0.25">
      <c r="A751">
        <v>1025</v>
      </c>
      <c r="B751" t="str">
        <f>_xlfn.IFNA(INDEX('Attandance Tracker'!$B$3:$B$30,MATCH($A751,'Attandance Tracker'!$A$3:$A$30,0)),"")</f>
        <v xml:space="preserve"> Varun</v>
      </c>
      <c r="C751" s="14" t="str">
        <f>_xlfn.IFNA(INDEX('Attandance Tracker'!$C$3:$C$30,MATCH($A751,'Attandance Tracker'!$A$3:$A$30,0)),"")</f>
        <v>Operations</v>
      </c>
      <c r="D751" s="14">
        <v>4</v>
      </c>
      <c r="E751" s="7">
        <v>0.375</v>
      </c>
      <c r="F751" s="7">
        <v>0.83333333333333337</v>
      </c>
      <c r="G751" s="7">
        <f t="shared" si="31"/>
        <v>0.33333333333333331</v>
      </c>
      <c r="H751" s="7">
        <f t="shared" si="32"/>
        <v>0.12500000000000006</v>
      </c>
      <c r="I751" t="str">
        <f>IFERROR(IF(INDEX('Attandance Tracker'!$D$3:$AH$50,MATCH($A751,'Attandance Tracker'!$A$3:$A$50,0),DAY($D751))="P","Present",IF(INDEX('Attandance Tracker'!$D$3:$AH$50,MATCH($A751,'Attandance Tracker'!$A$3:$A$50,0),DAY($D751))="A","Absent","Leave")),"")</f>
        <v>Present</v>
      </c>
    </row>
    <row r="752" spans="1:9" x14ac:dyDescent="0.25">
      <c r="A752">
        <v>1025</v>
      </c>
      <c r="B752" t="str">
        <f>_xlfn.IFNA(INDEX('Attandance Tracker'!$B$3:$B$30,MATCH($A752,'Attandance Tracker'!$A$3:$A$30,0)),"")</f>
        <v xml:space="preserve"> Varun</v>
      </c>
      <c r="C752" s="14" t="str">
        <f>_xlfn.IFNA(INDEX('Attandance Tracker'!$C$3:$C$30,MATCH($A752,'Attandance Tracker'!$A$3:$A$30,0)),"")</f>
        <v>Operations</v>
      </c>
      <c r="D752" s="14">
        <v>5</v>
      </c>
      <c r="E752" s="7">
        <v>0.33333333333333331</v>
      </c>
      <c r="F752" s="7">
        <v>0.75</v>
      </c>
      <c r="G752" s="7">
        <f t="shared" si="31"/>
        <v>0.33333333333333331</v>
      </c>
      <c r="H752" s="7">
        <f t="shared" si="32"/>
        <v>8.333333333333337E-2</v>
      </c>
      <c r="I752" t="str">
        <f>IFERROR(IF(INDEX('Attandance Tracker'!$D$3:$AH$50,MATCH($A752,'Attandance Tracker'!$A$3:$A$50,0),DAY($D752))="P","Present",IF(INDEX('Attandance Tracker'!$D$3:$AH$50,MATCH($A752,'Attandance Tracker'!$A$3:$A$50,0),DAY($D752))="A","Absent","Leave")),"")</f>
        <v>Present</v>
      </c>
    </row>
    <row r="753" spans="1:9" x14ac:dyDescent="0.25">
      <c r="A753">
        <v>1025</v>
      </c>
      <c r="B753" t="str">
        <f>_xlfn.IFNA(INDEX('Attandance Tracker'!$B$3:$B$30,MATCH($A753,'Attandance Tracker'!$A$3:$A$30,0)),"")</f>
        <v xml:space="preserve"> Varun</v>
      </c>
      <c r="C753" s="14" t="str">
        <f>_xlfn.IFNA(INDEX('Attandance Tracker'!$C$3:$C$30,MATCH($A753,'Attandance Tracker'!$A$3:$A$30,0)),"")</f>
        <v>Operations</v>
      </c>
      <c r="D753" s="14">
        <v>6</v>
      </c>
      <c r="E753" s="7">
        <v>0.33333333333333331</v>
      </c>
      <c r="F753" s="7">
        <v>0.79166666666666663</v>
      </c>
      <c r="G753" s="7">
        <f t="shared" si="31"/>
        <v>0.33333333333333331</v>
      </c>
      <c r="H753" s="7">
        <f t="shared" si="32"/>
        <v>0.125</v>
      </c>
      <c r="I753" t="str">
        <f>IFERROR(IF(INDEX('Attandance Tracker'!$D$3:$AH$50,MATCH($A753,'Attandance Tracker'!$A$3:$A$50,0),DAY($D753))="P","Present",IF(INDEX('Attandance Tracker'!$D$3:$AH$50,MATCH($A753,'Attandance Tracker'!$A$3:$A$50,0),DAY($D753))="A","Absent","Leave")),"")</f>
        <v>Present</v>
      </c>
    </row>
    <row r="754" spans="1:9" x14ac:dyDescent="0.25">
      <c r="A754">
        <v>1025</v>
      </c>
      <c r="B754" t="str">
        <f>_xlfn.IFNA(INDEX('Attandance Tracker'!$B$3:$B$30,MATCH($A754,'Attandance Tracker'!$A$3:$A$30,0)),"")</f>
        <v xml:space="preserve"> Varun</v>
      </c>
      <c r="C754" s="14" t="str">
        <f>_xlfn.IFNA(INDEX('Attandance Tracker'!$C$3:$C$30,MATCH($A754,'Attandance Tracker'!$A$3:$A$30,0)),"")</f>
        <v>Operations</v>
      </c>
      <c r="D754" s="14">
        <v>7</v>
      </c>
      <c r="E754" s="7">
        <v>0.33333333333333331</v>
      </c>
      <c r="F754" s="7">
        <v>0.83333333333333337</v>
      </c>
      <c r="G754" s="7">
        <f t="shared" si="31"/>
        <v>0.33333333333333331</v>
      </c>
      <c r="H754" s="7">
        <f t="shared" si="32"/>
        <v>0.16666666666666669</v>
      </c>
      <c r="I754" t="str">
        <f>IFERROR(IF(INDEX('Attandance Tracker'!$D$3:$AH$50,MATCH($A754,'Attandance Tracker'!$A$3:$A$50,0),DAY($D754))="P","Present",IF(INDEX('Attandance Tracker'!$D$3:$AH$50,MATCH($A754,'Attandance Tracker'!$A$3:$A$50,0),DAY($D754))="A","Absent","Leave")),"")</f>
        <v>Present</v>
      </c>
    </row>
    <row r="755" spans="1:9" x14ac:dyDescent="0.25">
      <c r="A755">
        <v>1025</v>
      </c>
      <c r="B755" t="str">
        <f>_xlfn.IFNA(INDEX('Attandance Tracker'!$B$3:$B$30,MATCH($A755,'Attandance Tracker'!$A$3:$A$30,0)),"")</f>
        <v xml:space="preserve"> Varun</v>
      </c>
      <c r="C755" s="14" t="str">
        <f>_xlfn.IFNA(INDEX('Attandance Tracker'!$C$3:$C$30,MATCH($A755,'Attandance Tracker'!$A$3:$A$30,0)),"")</f>
        <v>Operations</v>
      </c>
      <c r="D755" s="14">
        <v>8</v>
      </c>
      <c r="E755" s="7">
        <v>0.375</v>
      </c>
      <c r="F755" s="7">
        <v>0.75</v>
      </c>
      <c r="G755" s="7">
        <f t="shared" si="31"/>
        <v>0.33333333333333331</v>
      </c>
      <c r="H755" s="7">
        <f t="shared" si="32"/>
        <v>4.1666666666666685E-2</v>
      </c>
      <c r="I755" t="str">
        <f>IFERROR(IF(INDEX('Attandance Tracker'!$D$3:$AH$50,MATCH($A755,'Attandance Tracker'!$A$3:$A$50,0),DAY($D755))="P","Present",IF(INDEX('Attandance Tracker'!$D$3:$AH$50,MATCH($A755,'Attandance Tracker'!$A$3:$A$50,0),DAY($D755))="A","Absent","Leave")),"")</f>
        <v>Present</v>
      </c>
    </row>
    <row r="756" spans="1:9" x14ac:dyDescent="0.25">
      <c r="A756">
        <v>1025</v>
      </c>
      <c r="B756" t="str">
        <f>_xlfn.IFNA(INDEX('Attandance Tracker'!$B$3:$B$30,MATCH($A756,'Attandance Tracker'!$A$3:$A$30,0)),"")</f>
        <v xml:space="preserve"> Varun</v>
      </c>
      <c r="C756" s="14" t="str">
        <f>_xlfn.IFNA(INDEX('Attandance Tracker'!$C$3:$C$30,MATCH($A756,'Attandance Tracker'!$A$3:$A$30,0)),"")</f>
        <v>Operations</v>
      </c>
      <c r="D756" s="14">
        <v>9</v>
      </c>
      <c r="E756" s="7">
        <v>0.33333333333333331</v>
      </c>
      <c r="F756" s="7">
        <v>0.83333333333333337</v>
      </c>
      <c r="G756" s="7">
        <f t="shared" si="31"/>
        <v>0.33333333333333331</v>
      </c>
      <c r="H756" s="7">
        <f t="shared" si="32"/>
        <v>0.16666666666666669</v>
      </c>
      <c r="I756" t="str">
        <f>IFERROR(IF(INDEX('Attandance Tracker'!$D$3:$AH$50,MATCH($A756,'Attandance Tracker'!$A$3:$A$50,0),DAY($D756))="P","Present",IF(INDEX('Attandance Tracker'!$D$3:$AH$50,MATCH($A756,'Attandance Tracker'!$A$3:$A$50,0),DAY($D756))="A","Absent","Leave")),"")</f>
        <v>Present</v>
      </c>
    </row>
    <row r="757" spans="1:9" x14ac:dyDescent="0.25">
      <c r="A757">
        <v>1025</v>
      </c>
      <c r="B757" t="str">
        <f>_xlfn.IFNA(INDEX('Attandance Tracker'!$B$3:$B$30,MATCH($A757,'Attandance Tracker'!$A$3:$A$30,0)),"")</f>
        <v xml:space="preserve"> Varun</v>
      </c>
      <c r="C757" s="14" t="str">
        <f>_xlfn.IFNA(INDEX('Attandance Tracker'!$C$3:$C$30,MATCH($A757,'Attandance Tracker'!$A$3:$A$30,0)),"")</f>
        <v>Operations</v>
      </c>
      <c r="D757" s="14">
        <v>10</v>
      </c>
      <c r="E757" s="7">
        <v>0.33333333333333331</v>
      </c>
      <c r="F757" s="7">
        <v>0.83333333333333337</v>
      </c>
      <c r="G757" s="7">
        <f t="shared" si="31"/>
        <v>0.33333333333333331</v>
      </c>
      <c r="H757" s="7">
        <f t="shared" si="32"/>
        <v>0.16666666666666669</v>
      </c>
      <c r="I757" t="str">
        <f>IFERROR(IF(INDEX('Attandance Tracker'!$D$3:$AH$50,MATCH($A757,'Attandance Tracker'!$A$3:$A$50,0),DAY($D757))="P","Present",IF(INDEX('Attandance Tracker'!$D$3:$AH$50,MATCH($A757,'Attandance Tracker'!$A$3:$A$50,0),DAY($D757))="A","Absent","Leave")),"")</f>
        <v>Present</v>
      </c>
    </row>
    <row r="758" spans="1:9" x14ac:dyDescent="0.25">
      <c r="A758">
        <v>1025</v>
      </c>
      <c r="B758" t="str">
        <f>_xlfn.IFNA(INDEX('Attandance Tracker'!$B$3:$B$30,MATCH($A758,'Attandance Tracker'!$A$3:$A$30,0)),"")</f>
        <v xml:space="preserve"> Varun</v>
      </c>
      <c r="C758" s="14" t="str">
        <f>_xlfn.IFNA(INDEX('Attandance Tracker'!$C$3:$C$30,MATCH($A758,'Attandance Tracker'!$A$3:$A$30,0)),"")</f>
        <v>Operations</v>
      </c>
      <c r="D758" s="14">
        <v>11</v>
      </c>
      <c r="E758" s="7">
        <v>0.375</v>
      </c>
      <c r="F758" s="7">
        <v>0.79166666666666663</v>
      </c>
      <c r="G758" s="7">
        <f t="shared" si="31"/>
        <v>0.33333333333333331</v>
      </c>
      <c r="H758" s="7">
        <f t="shared" si="32"/>
        <v>8.3333333333333315E-2</v>
      </c>
      <c r="I758" t="str">
        <f>IFERROR(IF(INDEX('Attandance Tracker'!$D$3:$AH$50,MATCH($A758,'Attandance Tracker'!$A$3:$A$50,0),DAY($D758))="P","Present",IF(INDEX('Attandance Tracker'!$D$3:$AH$50,MATCH($A758,'Attandance Tracker'!$A$3:$A$50,0),DAY($D758))="A","Absent","Leave")),"")</f>
        <v>Present</v>
      </c>
    </row>
    <row r="759" spans="1:9" x14ac:dyDescent="0.25">
      <c r="A759">
        <v>1025</v>
      </c>
      <c r="B759" t="str">
        <f>_xlfn.IFNA(INDEX('Attandance Tracker'!$B$3:$B$30,MATCH($A759,'Attandance Tracker'!$A$3:$A$30,0)),"")</f>
        <v xml:space="preserve"> Varun</v>
      </c>
      <c r="C759" s="14" t="str">
        <f>_xlfn.IFNA(INDEX('Attandance Tracker'!$C$3:$C$30,MATCH($A759,'Attandance Tracker'!$A$3:$A$30,0)),"")</f>
        <v>Operations</v>
      </c>
      <c r="D759" s="14">
        <v>12</v>
      </c>
      <c r="E759" s="7">
        <v>0.375</v>
      </c>
      <c r="F759" s="7">
        <v>0.83333333333333337</v>
      </c>
      <c r="G759" s="7">
        <f t="shared" si="31"/>
        <v>0.33333333333333331</v>
      </c>
      <c r="H759" s="7">
        <f t="shared" si="32"/>
        <v>0.12500000000000006</v>
      </c>
      <c r="I759" t="str">
        <f>IFERROR(IF(INDEX('Attandance Tracker'!$D$3:$AH$50,MATCH($A759,'Attandance Tracker'!$A$3:$A$50,0),DAY($D759))="P","Present",IF(INDEX('Attandance Tracker'!$D$3:$AH$50,MATCH($A759,'Attandance Tracker'!$A$3:$A$50,0),DAY($D759))="A","Absent","Leave")),"")</f>
        <v>Present</v>
      </c>
    </row>
    <row r="760" spans="1:9" x14ac:dyDescent="0.25">
      <c r="A760">
        <v>1025</v>
      </c>
      <c r="B760" t="str">
        <f>_xlfn.IFNA(INDEX('Attandance Tracker'!$B$3:$B$30,MATCH($A760,'Attandance Tracker'!$A$3:$A$30,0)),"")</f>
        <v xml:space="preserve"> Varun</v>
      </c>
      <c r="C760" s="14" t="str">
        <f>_xlfn.IFNA(INDEX('Attandance Tracker'!$C$3:$C$30,MATCH($A760,'Attandance Tracker'!$A$3:$A$30,0)),"")</f>
        <v>Operations</v>
      </c>
      <c r="D760" s="14">
        <v>13</v>
      </c>
      <c r="E760" s="7">
        <v>0.375</v>
      </c>
      <c r="F760" s="7">
        <v>0.75</v>
      </c>
      <c r="G760" s="7">
        <f t="shared" si="31"/>
        <v>0.33333333333333331</v>
      </c>
      <c r="H760" s="7">
        <f t="shared" si="32"/>
        <v>4.1666666666666685E-2</v>
      </c>
      <c r="I760" t="str">
        <f>IFERROR(IF(INDEX('Attandance Tracker'!$D$3:$AH$50,MATCH($A760,'Attandance Tracker'!$A$3:$A$50,0),DAY($D760))="P","Present",IF(INDEX('Attandance Tracker'!$D$3:$AH$50,MATCH($A760,'Attandance Tracker'!$A$3:$A$50,0),DAY($D760))="A","Absent","Leave")),"")</f>
        <v>Present</v>
      </c>
    </row>
    <row r="761" spans="1:9" x14ac:dyDescent="0.25">
      <c r="A761">
        <v>1025</v>
      </c>
      <c r="B761" t="str">
        <f>_xlfn.IFNA(INDEX('Attandance Tracker'!$B$3:$B$30,MATCH($A761,'Attandance Tracker'!$A$3:$A$30,0)),"")</f>
        <v xml:space="preserve"> Varun</v>
      </c>
      <c r="C761" s="14" t="str">
        <f>_xlfn.IFNA(INDEX('Attandance Tracker'!$C$3:$C$30,MATCH($A761,'Attandance Tracker'!$A$3:$A$30,0)),"")</f>
        <v>Operations</v>
      </c>
      <c r="D761" s="14">
        <v>14</v>
      </c>
      <c r="E761" s="7">
        <v>0.33333333333333331</v>
      </c>
      <c r="F761" s="7">
        <v>0.83333333333333337</v>
      </c>
      <c r="G761" s="7">
        <f t="shared" si="31"/>
        <v>0.33333333333333331</v>
      </c>
      <c r="H761" s="7">
        <f t="shared" si="32"/>
        <v>0.16666666666666669</v>
      </c>
      <c r="I761" t="str">
        <f>IFERROR(IF(INDEX('Attandance Tracker'!$D$3:$AH$50,MATCH($A761,'Attandance Tracker'!$A$3:$A$50,0),DAY($D761))="P","Present",IF(INDEX('Attandance Tracker'!$D$3:$AH$50,MATCH($A761,'Attandance Tracker'!$A$3:$A$50,0),DAY($D761))="A","Absent","Leave")),"")</f>
        <v>Present</v>
      </c>
    </row>
    <row r="762" spans="1:9" x14ac:dyDescent="0.25">
      <c r="A762">
        <v>1025</v>
      </c>
      <c r="B762" t="str">
        <f>_xlfn.IFNA(INDEX('Attandance Tracker'!$B$3:$B$30,MATCH($A762,'Attandance Tracker'!$A$3:$A$30,0)),"")</f>
        <v xml:space="preserve"> Varun</v>
      </c>
      <c r="C762" s="14" t="str">
        <f>_xlfn.IFNA(INDEX('Attandance Tracker'!$C$3:$C$30,MATCH($A762,'Attandance Tracker'!$A$3:$A$30,0)),"")</f>
        <v>Operations</v>
      </c>
      <c r="D762" s="14">
        <v>15</v>
      </c>
      <c r="E762" s="7">
        <v>0.33333333333333331</v>
      </c>
      <c r="F762" s="7">
        <v>0.83333333333333337</v>
      </c>
      <c r="G762" s="7">
        <f t="shared" si="31"/>
        <v>0.33333333333333331</v>
      </c>
      <c r="H762" s="7">
        <f t="shared" si="32"/>
        <v>0.16666666666666669</v>
      </c>
      <c r="I762" t="str">
        <f>IFERROR(IF(INDEX('Attandance Tracker'!$D$3:$AH$50,MATCH($A762,'Attandance Tracker'!$A$3:$A$50,0),DAY($D762))="P","Present",IF(INDEX('Attandance Tracker'!$D$3:$AH$50,MATCH($A762,'Attandance Tracker'!$A$3:$A$50,0),DAY($D762))="A","Absent","Leave")),"")</f>
        <v>Present</v>
      </c>
    </row>
    <row r="763" spans="1:9" x14ac:dyDescent="0.25">
      <c r="A763">
        <v>1025</v>
      </c>
      <c r="B763" t="str">
        <f>_xlfn.IFNA(INDEX('Attandance Tracker'!$B$3:$B$30,MATCH($A763,'Attandance Tracker'!$A$3:$A$30,0)),"")</f>
        <v xml:space="preserve"> Varun</v>
      </c>
      <c r="C763" s="14" t="str">
        <f>_xlfn.IFNA(INDEX('Attandance Tracker'!$C$3:$C$30,MATCH($A763,'Attandance Tracker'!$A$3:$A$30,0)),"")</f>
        <v>Operations</v>
      </c>
      <c r="D763" s="14">
        <v>16</v>
      </c>
      <c r="E763" s="7">
        <v>0.33333333333333331</v>
      </c>
      <c r="F763" s="7">
        <v>0.79166666666666663</v>
      </c>
      <c r="G763" s="7">
        <f t="shared" si="31"/>
        <v>0.33333333333333331</v>
      </c>
      <c r="H763" s="7">
        <f t="shared" si="32"/>
        <v>0.125</v>
      </c>
      <c r="I763" t="str">
        <f>IFERROR(IF(INDEX('Attandance Tracker'!$D$3:$AH$50,MATCH($A763,'Attandance Tracker'!$A$3:$A$50,0),DAY($D763))="P","Present",IF(INDEX('Attandance Tracker'!$D$3:$AH$50,MATCH($A763,'Attandance Tracker'!$A$3:$A$50,0),DAY($D763))="A","Absent","Leave")),"")</f>
        <v>Present</v>
      </c>
    </row>
    <row r="764" spans="1:9" x14ac:dyDescent="0.25">
      <c r="A764">
        <v>1025</v>
      </c>
      <c r="B764" t="str">
        <f>_xlfn.IFNA(INDEX('Attandance Tracker'!$B$3:$B$30,MATCH($A764,'Attandance Tracker'!$A$3:$A$30,0)),"")</f>
        <v xml:space="preserve"> Varun</v>
      </c>
      <c r="C764" s="14" t="str">
        <f>_xlfn.IFNA(INDEX('Attandance Tracker'!$C$3:$C$30,MATCH($A764,'Attandance Tracker'!$A$3:$A$30,0)),"")</f>
        <v>Operations</v>
      </c>
      <c r="D764" s="14">
        <v>17</v>
      </c>
      <c r="E764" s="7">
        <v>0.33333333333333331</v>
      </c>
      <c r="F764" s="7">
        <v>0.83333333333333337</v>
      </c>
      <c r="G764" s="7">
        <f t="shared" si="31"/>
        <v>0.33333333333333331</v>
      </c>
      <c r="H764" s="7">
        <f t="shared" si="32"/>
        <v>0.16666666666666669</v>
      </c>
      <c r="I764" t="str">
        <f>IFERROR(IF(INDEX('Attandance Tracker'!$D$3:$AH$50,MATCH($A764,'Attandance Tracker'!$A$3:$A$50,0),DAY($D764))="P","Present",IF(INDEX('Attandance Tracker'!$D$3:$AH$50,MATCH($A764,'Attandance Tracker'!$A$3:$A$50,0),DAY($D764))="A","Absent","Leave")),"")</f>
        <v>Present</v>
      </c>
    </row>
    <row r="765" spans="1:9" x14ac:dyDescent="0.25">
      <c r="A765">
        <v>1025</v>
      </c>
      <c r="B765" t="str">
        <f>_xlfn.IFNA(INDEX('Attandance Tracker'!$B$3:$B$30,MATCH($A765,'Attandance Tracker'!$A$3:$A$30,0)),"")</f>
        <v xml:space="preserve"> Varun</v>
      </c>
      <c r="C765" s="14" t="str">
        <f>_xlfn.IFNA(INDEX('Attandance Tracker'!$C$3:$C$30,MATCH($A765,'Attandance Tracker'!$A$3:$A$30,0)),"")</f>
        <v>Operations</v>
      </c>
      <c r="D765" s="14">
        <v>18</v>
      </c>
      <c r="E765" s="7">
        <v>0.33333333333333331</v>
      </c>
      <c r="F765" s="7">
        <v>0.75</v>
      </c>
      <c r="G765" s="7">
        <f t="shared" si="31"/>
        <v>0</v>
      </c>
      <c r="H765" s="7">
        <f t="shared" si="32"/>
        <v>0</v>
      </c>
      <c r="I765" t="str">
        <f>IFERROR(IF(INDEX('Attandance Tracker'!$D$3:$AH$50,MATCH($A765,'Attandance Tracker'!$A$3:$A$50,0),DAY($D765))="P","Present",IF(INDEX('Attandance Tracker'!$D$3:$AH$50,MATCH($A765,'Attandance Tracker'!$A$3:$A$50,0),DAY($D765))="A","Absent","Leave")),"")</f>
        <v>Leave</v>
      </c>
    </row>
    <row r="766" spans="1:9" x14ac:dyDescent="0.25">
      <c r="A766">
        <v>1025</v>
      </c>
      <c r="B766" t="str">
        <f>_xlfn.IFNA(INDEX('Attandance Tracker'!$B$3:$B$30,MATCH($A766,'Attandance Tracker'!$A$3:$A$30,0)),"")</f>
        <v xml:space="preserve"> Varun</v>
      </c>
      <c r="C766" s="14" t="str">
        <f>_xlfn.IFNA(INDEX('Attandance Tracker'!$C$3:$C$30,MATCH($A766,'Attandance Tracker'!$A$3:$A$30,0)),"")</f>
        <v>Operations</v>
      </c>
      <c r="D766" s="14">
        <v>19</v>
      </c>
      <c r="E766" s="7">
        <v>0.33333333333333331</v>
      </c>
      <c r="F766" s="7">
        <v>0.83333333333333337</v>
      </c>
      <c r="G766" s="7">
        <f t="shared" si="31"/>
        <v>0.33333333333333331</v>
      </c>
      <c r="H766" s="7">
        <f t="shared" si="32"/>
        <v>0</v>
      </c>
      <c r="I766" t="str">
        <f>IFERROR(IF(INDEX('Attandance Tracker'!$D$3:$AH$50,MATCH($A766,'Attandance Tracker'!$A$3:$A$50,0),DAY($D766))="P","Present",IF(INDEX('Attandance Tracker'!$D$3:$AH$50,MATCH($A766,'Attandance Tracker'!$A$3:$A$50,0),DAY($D766))="A","Absent","Leave")),"")</f>
        <v>Absent</v>
      </c>
    </row>
    <row r="767" spans="1:9" x14ac:dyDescent="0.25">
      <c r="A767">
        <v>1025</v>
      </c>
      <c r="B767" t="str">
        <f>_xlfn.IFNA(INDEX('Attandance Tracker'!$B$3:$B$30,MATCH($A767,'Attandance Tracker'!$A$3:$A$30,0)),"")</f>
        <v xml:space="preserve"> Varun</v>
      </c>
      <c r="C767" s="14" t="str">
        <f>_xlfn.IFNA(INDEX('Attandance Tracker'!$C$3:$C$30,MATCH($A767,'Attandance Tracker'!$A$3:$A$30,0)),"")</f>
        <v>Operations</v>
      </c>
      <c r="D767" s="14">
        <v>20</v>
      </c>
      <c r="E767" s="7">
        <v>0.33333333333333331</v>
      </c>
      <c r="F767" s="7">
        <v>0.83333333333333337</v>
      </c>
      <c r="G767" s="7">
        <f t="shared" si="31"/>
        <v>0.33333333333333331</v>
      </c>
      <c r="H767" s="7">
        <f t="shared" si="32"/>
        <v>0.16666666666666669</v>
      </c>
      <c r="I767" t="str">
        <f>IFERROR(IF(INDEX('Attandance Tracker'!$D$3:$AH$50,MATCH($A767,'Attandance Tracker'!$A$3:$A$50,0),DAY($D767))="P","Present",IF(INDEX('Attandance Tracker'!$D$3:$AH$50,MATCH($A767,'Attandance Tracker'!$A$3:$A$50,0),DAY($D767))="A","Absent","Leave")),"")</f>
        <v>Present</v>
      </c>
    </row>
    <row r="768" spans="1:9" x14ac:dyDescent="0.25">
      <c r="A768">
        <v>1025</v>
      </c>
      <c r="B768" t="str">
        <f>_xlfn.IFNA(INDEX('Attandance Tracker'!$B$3:$B$30,MATCH($A768,'Attandance Tracker'!$A$3:$A$30,0)),"")</f>
        <v xml:space="preserve"> Varun</v>
      </c>
      <c r="C768" s="14" t="str">
        <f>_xlfn.IFNA(INDEX('Attandance Tracker'!$C$3:$C$30,MATCH($A768,'Attandance Tracker'!$A$3:$A$30,0)),"")</f>
        <v>Operations</v>
      </c>
      <c r="D768" s="14">
        <v>21</v>
      </c>
      <c r="E768" s="7">
        <v>0.375</v>
      </c>
      <c r="F768" s="7">
        <v>0.83333333333333337</v>
      </c>
      <c r="G768" s="7">
        <f t="shared" si="31"/>
        <v>0.33333333333333331</v>
      </c>
      <c r="H768" s="7">
        <f t="shared" si="32"/>
        <v>0.12500000000000006</v>
      </c>
      <c r="I768" t="str">
        <f>IFERROR(IF(INDEX('Attandance Tracker'!$D$3:$AH$50,MATCH($A768,'Attandance Tracker'!$A$3:$A$50,0),DAY($D768))="P","Present",IF(INDEX('Attandance Tracker'!$D$3:$AH$50,MATCH($A768,'Attandance Tracker'!$A$3:$A$50,0),DAY($D768))="A","Absent","Leave")),"")</f>
        <v>Present</v>
      </c>
    </row>
    <row r="769" spans="1:9" x14ac:dyDescent="0.25">
      <c r="A769">
        <v>1025</v>
      </c>
      <c r="B769" t="str">
        <f>_xlfn.IFNA(INDEX('Attandance Tracker'!$B$3:$B$30,MATCH($A769,'Attandance Tracker'!$A$3:$A$30,0)),"")</f>
        <v xml:space="preserve"> Varun</v>
      </c>
      <c r="C769" s="14" t="str">
        <f>_xlfn.IFNA(INDEX('Attandance Tracker'!$C$3:$C$30,MATCH($A769,'Attandance Tracker'!$A$3:$A$30,0)),"")</f>
        <v>Operations</v>
      </c>
      <c r="D769" s="14">
        <v>22</v>
      </c>
      <c r="E769" s="7">
        <v>0.375</v>
      </c>
      <c r="F769" s="7">
        <v>0.79166666666666663</v>
      </c>
      <c r="G769" s="7">
        <f t="shared" si="31"/>
        <v>0.33333333333333331</v>
      </c>
      <c r="H769" s="7">
        <f t="shared" si="32"/>
        <v>8.3333333333333315E-2</v>
      </c>
      <c r="I769" t="str">
        <f>IFERROR(IF(INDEX('Attandance Tracker'!$D$3:$AH$50,MATCH($A769,'Attandance Tracker'!$A$3:$A$50,0),DAY($D769))="P","Present",IF(INDEX('Attandance Tracker'!$D$3:$AH$50,MATCH($A769,'Attandance Tracker'!$A$3:$A$50,0),DAY($D769))="A","Absent","Leave")),"")</f>
        <v>Present</v>
      </c>
    </row>
    <row r="770" spans="1:9" x14ac:dyDescent="0.25">
      <c r="A770">
        <v>1025</v>
      </c>
      <c r="B770" t="str">
        <f>_xlfn.IFNA(INDEX('Attandance Tracker'!$B$3:$B$30,MATCH($A770,'Attandance Tracker'!$A$3:$A$30,0)),"")</f>
        <v xml:space="preserve"> Varun</v>
      </c>
      <c r="C770" s="14" t="str">
        <f>_xlfn.IFNA(INDEX('Attandance Tracker'!$C$3:$C$30,MATCH($A770,'Attandance Tracker'!$A$3:$A$30,0)),"")</f>
        <v>Operations</v>
      </c>
      <c r="D770" s="14">
        <v>23</v>
      </c>
      <c r="E770" s="7">
        <v>0.375</v>
      </c>
      <c r="F770" s="7">
        <v>0.83333333333333337</v>
      </c>
      <c r="G770" s="7">
        <f t="shared" si="31"/>
        <v>0.33333333333333331</v>
      </c>
      <c r="H770" s="7">
        <f t="shared" si="32"/>
        <v>0.12500000000000006</v>
      </c>
      <c r="I770" t="str">
        <f>IFERROR(IF(INDEX('Attandance Tracker'!$D$3:$AH$50,MATCH($A770,'Attandance Tracker'!$A$3:$A$50,0),DAY($D770))="P","Present",IF(INDEX('Attandance Tracker'!$D$3:$AH$50,MATCH($A770,'Attandance Tracker'!$A$3:$A$50,0),DAY($D770))="A","Absent","Leave")),"")</f>
        <v>Present</v>
      </c>
    </row>
    <row r="771" spans="1:9" x14ac:dyDescent="0.25">
      <c r="A771">
        <v>1025</v>
      </c>
      <c r="B771" t="str">
        <f>_xlfn.IFNA(INDEX('Attandance Tracker'!$B$3:$B$30,MATCH($A771,'Attandance Tracker'!$A$3:$A$30,0)),"")</f>
        <v xml:space="preserve"> Varun</v>
      </c>
      <c r="C771" s="14" t="str">
        <f>_xlfn.IFNA(INDEX('Attandance Tracker'!$C$3:$C$30,MATCH($A771,'Attandance Tracker'!$A$3:$A$30,0)),"")</f>
        <v>Operations</v>
      </c>
      <c r="D771" s="14">
        <v>24</v>
      </c>
      <c r="E771" s="7">
        <v>0.375</v>
      </c>
      <c r="F771" s="7">
        <v>0.75</v>
      </c>
      <c r="G771" s="7">
        <f t="shared" si="31"/>
        <v>0.33333333333333331</v>
      </c>
      <c r="H771" s="7">
        <f t="shared" si="32"/>
        <v>0</v>
      </c>
      <c r="I771" t="str">
        <f>IFERROR(IF(INDEX('Attandance Tracker'!$D$3:$AH$50,MATCH($A771,'Attandance Tracker'!$A$3:$A$50,0),DAY($D771))="P","Present",IF(INDEX('Attandance Tracker'!$D$3:$AH$50,MATCH($A771,'Attandance Tracker'!$A$3:$A$50,0),DAY($D771))="A","Absent","Leave")),"")</f>
        <v>Absent</v>
      </c>
    </row>
    <row r="772" spans="1:9" x14ac:dyDescent="0.25">
      <c r="A772">
        <v>1025</v>
      </c>
      <c r="B772" t="str">
        <f>_xlfn.IFNA(INDEX('Attandance Tracker'!$B$3:$B$30,MATCH($A772,'Attandance Tracker'!$A$3:$A$30,0)),"")</f>
        <v xml:space="preserve"> Varun</v>
      </c>
      <c r="C772" s="14" t="str">
        <f>_xlfn.IFNA(INDEX('Attandance Tracker'!$C$3:$C$30,MATCH($A772,'Attandance Tracker'!$A$3:$A$30,0)),"")</f>
        <v>Operations</v>
      </c>
      <c r="D772" s="14">
        <v>25</v>
      </c>
      <c r="E772" s="7">
        <v>0.33333333333333331</v>
      </c>
      <c r="F772" s="7">
        <v>0.83333333333333337</v>
      </c>
      <c r="G772" s="7">
        <f t="shared" si="31"/>
        <v>0.33333333333333331</v>
      </c>
      <c r="H772" s="7">
        <f t="shared" si="32"/>
        <v>0</v>
      </c>
      <c r="I772" t="str">
        <f>IFERROR(IF(INDEX('Attandance Tracker'!$D$3:$AH$50,MATCH($A772,'Attandance Tracker'!$A$3:$A$50,0),DAY($D772))="P","Present",IF(INDEX('Attandance Tracker'!$D$3:$AH$50,MATCH($A772,'Attandance Tracker'!$A$3:$A$50,0),DAY($D772))="A","Absent","Leave")),"")</f>
        <v>Absent</v>
      </c>
    </row>
    <row r="773" spans="1:9" x14ac:dyDescent="0.25">
      <c r="A773">
        <v>1025</v>
      </c>
      <c r="B773" t="str">
        <f>_xlfn.IFNA(INDEX('Attandance Tracker'!$B$3:$B$30,MATCH($A773,'Attandance Tracker'!$A$3:$A$30,0)),"")</f>
        <v xml:space="preserve"> Varun</v>
      </c>
      <c r="C773" s="14" t="str">
        <f>_xlfn.IFNA(INDEX('Attandance Tracker'!$C$3:$C$30,MATCH($A773,'Attandance Tracker'!$A$3:$A$30,0)),"")</f>
        <v>Operations</v>
      </c>
      <c r="D773" s="14">
        <v>26</v>
      </c>
      <c r="E773" s="7">
        <v>0.33333333333333331</v>
      </c>
      <c r="F773" s="7">
        <v>0.83333333333333337</v>
      </c>
      <c r="G773" s="7">
        <f t="shared" ref="G773:G836" si="33">IF(I773="Present",MIN(F773-E773,8/24),IF(I773="Absent",8/24,0))</f>
        <v>0</v>
      </c>
      <c r="H773" s="7">
        <f t="shared" ref="H773:H836" si="34">IF(I773="Present",MAX(0,F773-E773-8/24),0)</f>
        <v>0</v>
      </c>
      <c r="I773" t="str">
        <f>IFERROR(IF(INDEX('Attandance Tracker'!$D$3:$AH$50,MATCH($A773,'Attandance Tracker'!$A$3:$A$50,0),DAY($D773))="P","Present",IF(INDEX('Attandance Tracker'!$D$3:$AH$50,MATCH($A773,'Attandance Tracker'!$A$3:$A$50,0),DAY($D773))="A","Absent","Leave")),"")</f>
        <v>Leave</v>
      </c>
    </row>
    <row r="774" spans="1:9" x14ac:dyDescent="0.25">
      <c r="A774">
        <v>1025</v>
      </c>
      <c r="B774" t="str">
        <f>_xlfn.IFNA(INDEX('Attandance Tracker'!$B$3:$B$30,MATCH($A774,'Attandance Tracker'!$A$3:$A$30,0)),"")</f>
        <v xml:space="preserve"> Varun</v>
      </c>
      <c r="C774" s="14" t="str">
        <f>_xlfn.IFNA(INDEX('Attandance Tracker'!$C$3:$C$30,MATCH($A774,'Attandance Tracker'!$A$3:$A$30,0)),"")</f>
        <v>Operations</v>
      </c>
      <c r="D774" s="14">
        <v>27</v>
      </c>
      <c r="E774" s="7">
        <v>0.33333333333333331</v>
      </c>
      <c r="F774" s="7">
        <v>0.79166666666666663</v>
      </c>
      <c r="G774" s="7">
        <f t="shared" si="33"/>
        <v>0.33333333333333331</v>
      </c>
      <c r="H774" s="7">
        <f t="shared" si="34"/>
        <v>0.125</v>
      </c>
      <c r="I774" t="str">
        <f>IFERROR(IF(INDEX('Attandance Tracker'!$D$3:$AH$50,MATCH($A774,'Attandance Tracker'!$A$3:$A$50,0),DAY($D774))="P","Present",IF(INDEX('Attandance Tracker'!$D$3:$AH$50,MATCH($A774,'Attandance Tracker'!$A$3:$A$50,0),DAY($D774))="A","Absent","Leave")),"")</f>
        <v>Present</v>
      </c>
    </row>
    <row r="775" spans="1:9" x14ac:dyDescent="0.25">
      <c r="A775">
        <v>1025</v>
      </c>
      <c r="B775" t="str">
        <f>_xlfn.IFNA(INDEX('Attandance Tracker'!$B$3:$B$30,MATCH($A775,'Attandance Tracker'!$A$3:$A$30,0)),"")</f>
        <v xml:space="preserve"> Varun</v>
      </c>
      <c r="C775" s="14" t="str">
        <f>_xlfn.IFNA(INDEX('Attandance Tracker'!$C$3:$C$30,MATCH($A775,'Attandance Tracker'!$A$3:$A$30,0)),"")</f>
        <v>Operations</v>
      </c>
      <c r="D775" s="14">
        <v>28</v>
      </c>
      <c r="E775" s="7">
        <v>0.33333333333333331</v>
      </c>
      <c r="F775" s="7">
        <v>0.83333333333333337</v>
      </c>
      <c r="G775" s="7">
        <f t="shared" si="33"/>
        <v>0.33333333333333331</v>
      </c>
      <c r="H775" s="7">
        <f t="shared" si="34"/>
        <v>0.16666666666666669</v>
      </c>
      <c r="I775" t="str">
        <f>IFERROR(IF(INDEX('Attandance Tracker'!$D$3:$AH$50,MATCH($A775,'Attandance Tracker'!$A$3:$A$50,0),DAY($D775))="P","Present",IF(INDEX('Attandance Tracker'!$D$3:$AH$50,MATCH($A775,'Attandance Tracker'!$A$3:$A$50,0),DAY($D775))="A","Absent","Leave")),"")</f>
        <v>Present</v>
      </c>
    </row>
    <row r="776" spans="1:9" x14ac:dyDescent="0.25">
      <c r="A776">
        <v>1025</v>
      </c>
      <c r="B776" t="str">
        <f>_xlfn.IFNA(INDEX('Attandance Tracker'!$B$3:$B$30,MATCH($A776,'Attandance Tracker'!$A$3:$A$30,0)),"")</f>
        <v xml:space="preserve"> Varun</v>
      </c>
      <c r="C776" s="14" t="str">
        <f>_xlfn.IFNA(INDEX('Attandance Tracker'!$C$3:$C$30,MATCH($A776,'Attandance Tracker'!$A$3:$A$30,0)),"")</f>
        <v>Operations</v>
      </c>
      <c r="D776" s="14">
        <v>29</v>
      </c>
      <c r="E776" s="7">
        <v>0.33333333333333331</v>
      </c>
      <c r="F776" s="7">
        <v>0.75</v>
      </c>
      <c r="G776" s="7">
        <f t="shared" si="33"/>
        <v>0.33333333333333331</v>
      </c>
      <c r="H776" s="7">
        <f t="shared" si="34"/>
        <v>8.333333333333337E-2</v>
      </c>
      <c r="I776" t="str">
        <f>IFERROR(IF(INDEX('Attandance Tracker'!$D$3:$AH$50,MATCH($A776,'Attandance Tracker'!$A$3:$A$50,0),DAY($D776))="P","Present",IF(INDEX('Attandance Tracker'!$D$3:$AH$50,MATCH($A776,'Attandance Tracker'!$A$3:$A$50,0),DAY($D776))="A","Absent","Leave")),"")</f>
        <v>Present</v>
      </c>
    </row>
    <row r="777" spans="1:9" x14ac:dyDescent="0.25">
      <c r="A777">
        <v>1025</v>
      </c>
      <c r="B777" t="str">
        <f>_xlfn.IFNA(INDEX('Attandance Tracker'!$B$3:$B$30,MATCH($A777,'Attandance Tracker'!$A$3:$A$30,0)),"")</f>
        <v xml:space="preserve"> Varun</v>
      </c>
      <c r="C777" s="14" t="str">
        <f>_xlfn.IFNA(INDEX('Attandance Tracker'!$C$3:$C$30,MATCH($A777,'Attandance Tracker'!$A$3:$A$30,0)),"")</f>
        <v>Operations</v>
      </c>
      <c r="D777" s="14">
        <v>30</v>
      </c>
      <c r="E777" s="7">
        <v>0.33333333333333331</v>
      </c>
      <c r="F777" s="7">
        <v>0.79166666666666663</v>
      </c>
      <c r="G777" s="7">
        <f t="shared" si="33"/>
        <v>0</v>
      </c>
      <c r="H777" s="7">
        <f t="shared" si="34"/>
        <v>0</v>
      </c>
      <c r="I777" t="str">
        <f>IFERROR(IF(INDEX('Attandance Tracker'!$D$3:$AH$50,MATCH($A777,'Attandance Tracker'!$A$3:$A$50,0),DAY($D777))="P","Present",IF(INDEX('Attandance Tracker'!$D$3:$AH$50,MATCH($A777,'Attandance Tracker'!$A$3:$A$50,0),DAY($D777))="A","Absent","Leave")),"")</f>
        <v>Leave</v>
      </c>
    </row>
    <row r="778" spans="1:9" x14ac:dyDescent="0.25">
      <c r="A778">
        <v>1025</v>
      </c>
      <c r="B778" t="str">
        <f>_xlfn.IFNA(INDEX('Attandance Tracker'!$B$3:$B$30,MATCH($A778,'Attandance Tracker'!$A$3:$A$30,0)),"")</f>
        <v xml:space="preserve"> Varun</v>
      </c>
      <c r="C778" s="14" t="str">
        <f>_xlfn.IFNA(INDEX('Attandance Tracker'!$C$3:$C$30,MATCH($A778,'Attandance Tracker'!$A$3:$A$30,0)),"")</f>
        <v>Operations</v>
      </c>
      <c r="D778" s="14">
        <v>31</v>
      </c>
      <c r="E778" s="7">
        <v>0.33333333333333331</v>
      </c>
      <c r="F778" s="7">
        <v>0.83333333333333337</v>
      </c>
      <c r="G778" s="7">
        <f t="shared" si="33"/>
        <v>0</v>
      </c>
      <c r="H778" s="7">
        <f t="shared" si="34"/>
        <v>0</v>
      </c>
      <c r="I778" t="str">
        <f>IFERROR(IF(INDEX('Attandance Tracker'!$D$3:$AH$50,MATCH($A778,'Attandance Tracker'!$A$3:$A$50,0),DAY($D778))="P","Present",IF(INDEX('Attandance Tracker'!$D$3:$AH$50,MATCH($A778,'Attandance Tracker'!$A$3:$A$50,0),DAY($D778))="A","Absent","Leave")),"")</f>
        <v>Leave</v>
      </c>
    </row>
    <row r="779" spans="1:9" x14ac:dyDescent="0.25">
      <c r="A779">
        <v>1026</v>
      </c>
      <c r="B779" t="str">
        <f>_xlfn.IFNA(INDEX('Attandance Tracker'!$B$3:$B$30,MATCH($A779,'Attandance Tracker'!$A$3:$A$30,0)),"")</f>
        <v xml:space="preserve"> Sonia</v>
      </c>
      <c r="C779" s="14" t="str">
        <f>_xlfn.IFNA(INDEX('Attandance Tracker'!$C$3:$C$30,MATCH($A779,'Attandance Tracker'!$A$3:$A$30,0)),"")</f>
        <v>HR</v>
      </c>
      <c r="D779" s="14">
        <v>1</v>
      </c>
      <c r="E779" s="7">
        <v>0.375</v>
      </c>
      <c r="F779" s="7">
        <v>0.75</v>
      </c>
      <c r="G779" s="7">
        <f t="shared" si="33"/>
        <v>0.33333333333333331</v>
      </c>
      <c r="H779" s="7">
        <f t="shared" si="34"/>
        <v>4.1666666666666685E-2</v>
      </c>
      <c r="I779" t="str">
        <f>IFERROR(IF(INDEX('Attandance Tracker'!$D$3:$AH$50,MATCH($A779,'Attandance Tracker'!$A$3:$A$50,0),DAY($D779))="P","Present",IF(INDEX('Attandance Tracker'!$D$3:$AH$50,MATCH($A779,'Attandance Tracker'!$A$3:$A$50,0),DAY($D779))="A","Absent","Leave")),"")</f>
        <v>Present</v>
      </c>
    </row>
    <row r="780" spans="1:9" x14ac:dyDescent="0.25">
      <c r="A780">
        <v>1026</v>
      </c>
      <c r="B780" t="str">
        <f>_xlfn.IFNA(INDEX('Attandance Tracker'!$B$3:$B$30,MATCH($A780,'Attandance Tracker'!$A$3:$A$30,0)),"")</f>
        <v xml:space="preserve"> Sonia</v>
      </c>
      <c r="C780" s="14" t="str">
        <f>_xlfn.IFNA(INDEX('Attandance Tracker'!$C$3:$C$30,MATCH($A780,'Attandance Tracker'!$A$3:$A$30,0)),"")</f>
        <v>HR</v>
      </c>
      <c r="D780" s="14">
        <v>2</v>
      </c>
      <c r="E780" s="7">
        <v>0.375</v>
      </c>
      <c r="F780" s="7">
        <v>0.83333333333333337</v>
      </c>
      <c r="G780" s="7">
        <f t="shared" si="33"/>
        <v>0.33333333333333331</v>
      </c>
      <c r="H780" s="7">
        <f t="shared" si="34"/>
        <v>0.12500000000000006</v>
      </c>
      <c r="I780" t="str">
        <f>IFERROR(IF(INDEX('Attandance Tracker'!$D$3:$AH$50,MATCH($A780,'Attandance Tracker'!$A$3:$A$50,0),DAY($D780))="P","Present",IF(INDEX('Attandance Tracker'!$D$3:$AH$50,MATCH($A780,'Attandance Tracker'!$A$3:$A$50,0),DAY($D780))="A","Absent","Leave")),"")</f>
        <v>Present</v>
      </c>
    </row>
    <row r="781" spans="1:9" x14ac:dyDescent="0.25">
      <c r="A781">
        <v>1026</v>
      </c>
      <c r="B781" t="str">
        <f>_xlfn.IFNA(INDEX('Attandance Tracker'!$B$3:$B$30,MATCH($A781,'Attandance Tracker'!$A$3:$A$30,0)),"")</f>
        <v xml:space="preserve"> Sonia</v>
      </c>
      <c r="C781" s="14" t="str">
        <f>_xlfn.IFNA(INDEX('Attandance Tracker'!$C$3:$C$30,MATCH($A781,'Attandance Tracker'!$A$3:$A$30,0)),"")</f>
        <v>HR</v>
      </c>
      <c r="D781" s="14">
        <v>3</v>
      </c>
      <c r="E781" s="7">
        <v>0.33333333333333331</v>
      </c>
      <c r="F781" s="7">
        <v>0.83333333333333337</v>
      </c>
      <c r="G781" s="7">
        <f t="shared" si="33"/>
        <v>0.33333333333333331</v>
      </c>
      <c r="H781" s="7">
        <f t="shared" si="34"/>
        <v>0.16666666666666669</v>
      </c>
      <c r="I781" t="str">
        <f>IFERROR(IF(INDEX('Attandance Tracker'!$D$3:$AH$50,MATCH($A781,'Attandance Tracker'!$A$3:$A$50,0),DAY($D781))="P","Present",IF(INDEX('Attandance Tracker'!$D$3:$AH$50,MATCH($A781,'Attandance Tracker'!$A$3:$A$50,0),DAY($D781))="A","Absent","Leave")),"")</f>
        <v>Present</v>
      </c>
    </row>
    <row r="782" spans="1:9" x14ac:dyDescent="0.25">
      <c r="A782">
        <v>1026</v>
      </c>
      <c r="B782" t="str">
        <f>_xlfn.IFNA(INDEX('Attandance Tracker'!$B$3:$B$30,MATCH($A782,'Attandance Tracker'!$A$3:$A$30,0)),"")</f>
        <v xml:space="preserve"> Sonia</v>
      </c>
      <c r="C782" s="14" t="str">
        <f>_xlfn.IFNA(INDEX('Attandance Tracker'!$C$3:$C$30,MATCH($A782,'Attandance Tracker'!$A$3:$A$30,0)),"")</f>
        <v>HR</v>
      </c>
      <c r="D782" s="14">
        <v>4</v>
      </c>
      <c r="E782" s="7">
        <v>0.375</v>
      </c>
      <c r="F782" s="7">
        <v>0.79166666666666663</v>
      </c>
      <c r="G782" s="7">
        <f t="shared" si="33"/>
        <v>0</v>
      </c>
      <c r="H782" s="7">
        <f t="shared" si="34"/>
        <v>0</v>
      </c>
      <c r="I782" t="str">
        <f>IFERROR(IF(INDEX('Attandance Tracker'!$D$3:$AH$50,MATCH($A782,'Attandance Tracker'!$A$3:$A$50,0),DAY($D782))="P","Present",IF(INDEX('Attandance Tracker'!$D$3:$AH$50,MATCH($A782,'Attandance Tracker'!$A$3:$A$50,0),DAY($D782))="A","Absent","Leave")),"")</f>
        <v>Leave</v>
      </c>
    </row>
    <row r="783" spans="1:9" x14ac:dyDescent="0.25">
      <c r="A783">
        <v>1026</v>
      </c>
      <c r="B783" t="str">
        <f>_xlfn.IFNA(INDEX('Attandance Tracker'!$B$3:$B$30,MATCH($A783,'Attandance Tracker'!$A$3:$A$30,0)),"")</f>
        <v xml:space="preserve"> Sonia</v>
      </c>
      <c r="C783" s="14" t="str">
        <f>_xlfn.IFNA(INDEX('Attandance Tracker'!$C$3:$C$30,MATCH($A783,'Attandance Tracker'!$A$3:$A$30,0)),"")</f>
        <v>HR</v>
      </c>
      <c r="D783" s="14">
        <v>5</v>
      </c>
      <c r="E783" s="7">
        <v>0.375</v>
      </c>
      <c r="F783" s="7">
        <v>0.83333333333333337</v>
      </c>
      <c r="G783" s="7">
        <f t="shared" si="33"/>
        <v>0</v>
      </c>
      <c r="H783" s="7">
        <f t="shared" si="34"/>
        <v>0</v>
      </c>
      <c r="I783" t="str">
        <f>IFERROR(IF(INDEX('Attandance Tracker'!$D$3:$AH$50,MATCH($A783,'Attandance Tracker'!$A$3:$A$50,0),DAY($D783))="P","Present",IF(INDEX('Attandance Tracker'!$D$3:$AH$50,MATCH($A783,'Attandance Tracker'!$A$3:$A$50,0),DAY($D783))="A","Absent","Leave")),"")</f>
        <v>Leave</v>
      </c>
    </row>
    <row r="784" spans="1:9" x14ac:dyDescent="0.25">
      <c r="A784">
        <v>1026</v>
      </c>
      <c r="B784" t="str">
        <f>_xlfn.IFNA(INDEX('Attandance Tracker'!$B$3:$B$30,MATCH($A784,'Attandance Tracker'!$A$3:$A$30,0)),"")</f>
        <v xml:space="preserve"> Sonia</v>
      </c>
      <c r="C784" s="14" t="str">
        <f>_xlfn.IFNA(INDEX('Attandance Tracker'!$C$3:$C$30,MATCH($A784,'Attandance Tracker'!$A$3:$A$30,0)),"")</f>
        <v>HR</v>
      </c>
      <c r="D784" s="14">
        <v>6</v>
      </c>
      <c r="E784" s="7">
        <v>0.375</v>
      </c>
      <c r="F784" s="7">
        <v>0.75</v>
      </c>
      <c r="G784" s="7">
        <f t="shared" si="33"/>
        <v>0.33333333333333331</v>
      </c>
      <c r="H784" s="7">
        <f t="shared" si="34"/>
        <v>4.1666666666666685E-2</v>
      </c>
      <c r="I784" t="str">
        <f>IFERROR(IF(INDEX('Attandance Tracker'!$D$3:$AH$50,MATCH($A784,'Attandance Tracker'!$A$3:$A$50,0),DAY($D784))="P","Present",IF(INDEX('Attandance Tracker'!$D$3:$AH$50,MATCH($A784,'Attandance Tracker'!$A$3:$A$50,0),DAY($D784))="A","Absent","Leave")),"")</f>
        <v>Present</v>
      </c>
    </row>
    <row r="785" spans="1:9" x14ac:dyDescent="0.25">
      <c r="A785">
        <v>1026</v>
      </c>
      <c r="B785" t="str">
        <f>_xlfn.IFNA(INDEX('Attandance Tracker'!$B$3:$B$30,MATCH($A785,'Attandance Tracker'!$A$3:$A$30,0)),"")</f>
        <v xml:space="preserve"> Sonia</v>
      </c>
      <c r="C785" s="14" t="str">
        <f>_xlfn.IFNA(INDEX('Attandance Tracker'!$C$3:$C$30,MATCH($A785,'Attandance Tracker'!$A$3:$A$30,0)),"")</f>
        <v>HR</v>
      </c>
      <c r="D785" s="14">
        <v>7</v>
      </c>
      <c r="E785" s="7">
        <v>0.33333333333333331</v>
      </c>
      <c r="F785" s="7">
        <v>0.83333333333333337</v>
      </c>
      <c r="G785" s="7">
        <f t="shared" si="33"/>
        <v>0.33333333333333331</v>
      </c>
      <c r="H785" s="7">
        <f t="shared" si="34"/>
        <v>0.16666666666666669</v>
      </c>
      <c r="I785" t="str">
        <f>IFERROR(IF(INDEX('Attandance Tracker'!$D$3:$AH$50,MATCH($A785,'Attandance Tracker'!$A$3:$A$50,0),DAY($D785))="P","Present",IF(INDEX('Attandance Tracker'!$D$3:$AH$50,MATCH($A785,'Attandance Tracker'!$A$3:$A$50,0),DAY($D785))="A","Absent","Leave")),"")</f>
        <v>Present</v>
      </c>
    </row>
    <row r="786" spans="1:9" x14ac:dyDescent="0.25">
      <c r="A786">
        <v>1026</v>
      </c>
      <c r="B786" t="str">
        <f>_xlfn.IFNA(INDEX('Attandance Tracker'!$B$3:$B$30,MATCH($A786,'Attandance Tracker'!$A$3:$A$30,0)),"")</f>
        <v xml:space="preserve"> Sonia</v>
      </c>
      <c r="C786" s="14" t="str">
        <f>_xlfn.IFNA(INDEX('Attandance Tracker'!$C$3:$C$30,MATCH($A786,'Attandance Tracker'!$A$3:$A$30,0)),"")</f>
        <v>HR</v>
      </c>
      <c r="D786" s="14">
        <v>8</v>
      </c>
      <c r="E786" s="7">
        <v>0.33333333333333331</v>
      </c>
      <c r="F786" s="7">
        <v>0.83333333333333337</v>
      </c>
      <c r="G786" s="7">
        <f t="shared" si="33"/>
        <v>0.33333333333333331</v>
      </c>
      <c r="H786" s="7">
        <f t="shared" si="34"/>
        <v>0.16666666666666669</v>
      </c>
      <c r="I786" t="str">
        <f>IFERROR(IF(INDEX('Attandance Tracker'!$D$3:$AH$50,MATCH($A786,'Attandance Tracker'!$A$3:$A$50,0),DAY($D786))="P","Present",IF(INDEX('Attandance Tracker'!$D$3:$AH$50,MATCH($A786,'Attandance Tracker'!$A$3:$A$50,0),DAY($D786))="A","Absent","Leave")),"")</f>
        <v>Present</v>
      </c>
    </row>
    <row r="787" spans="1:9" x14ac:dyDescent="0.25">
      <c r="A787">
        <v>1026</v>
      </c>
      <c r="B787" t="str">
        <f>_xlfn.IFNA(INDEX('Attandance Tracker'!$B$3:$B$30,MATCH($A787,'Attandance Tracker'!$A$3:$A$30,0)),"")</f>
        <v xml:space="preserve"> Sonia</v>
      </c>
      <c r="C787" s="14" t="str">
        <f>_xlfn.IFNA(INDEX('Attandance Tracker'!$C$3:$C$30,MATCH($A787,'Attandance Tracker'!$A$3:$A$30,0)),"")</f>
        <v>HR</v>
      </c>
      <c r="D787" s="14">
        <v>9</v>
      </c>
      <c r="E787" s="7">
        <v>0.375</v>
      </c>
      <c r="F787" s="7">
        <v>0.79166666666666663</v>
      </c>
      <c r="G787" s="7">
        <f t="shared" si="33"/>
        <v>0.33333333333333331</v>
      </c>
      <c r="H787" s="7">
        <f t="shared" si="34"/>
        <v>0</v>
      </c>
      <c r="I787" t="str">
        <f>IFERROR(IF(INDEX('Attandance Tracker'!$D$3:$AH$50,MATCH($A787,'Attandance Tracker'!$A$3:$A$50,0),DAY($D787))="P","Present",IF(INDEX('Attandance Tracker'!$D$3:$AH$50,MATCH($A787,'Attandance Tracker'!$A$3:$A$50,0),DAY($D787))="A","Absent","Leave")),"")</f>
        <v>Absent</v>
      </c>
    </row>
    <row r="788" spans="1:9" x14ac:dyDescent="0.25">
      <c r="A788">
        <v>1026</v>
      </c>
      <c r="B788" t="str">
        <f>_xlfn.IFNA(INDEX('Attandance Tracker'!$B$3:$B$30,MATCH($A788,'Attandance Tracker'!$A$3:$A$30,0)),"")</f>
        <v xml:space="preserve"> Sonia</v>
      </c>
      <c r="C788" s="14" t="str">
        <f>_xlfn.IFNA(INDEX('Attandance Tracker'!$C$3:$C$30,MATCH($A788,'Attandance Tracker'!$A$3:$A$30,0)),"")</f>
        <v>HR</v>
      </c>
      <c r="D788" s="14">
        <v>10</v>
      </c>
      <c r="E788" s="7">
        <v>0.375</v>
      </c>
      <c r="F788" s="7">
        <v>0.83333333333333337</v>
      </c>
      <c r="G788" s="7">
        <f t="shared" si="33"/>
        <v>0.33333333333333331</v>
      </c>
      <c r="H788" s="7">
        <f t="shared" si="34"/>
        <v>0.12500000000000006</v>
      </c>
      <c r="I788" t="str">
        <f>IFERROR(IF(INDEX('Attandance Tracker'!$D$3:$AH$50,MATCH($A788,'Attandance Tracker'!$A$3:$A$50,0),DAY($D788))="P","Present",IF(INDEX('Attandance Tracker'!$D$3:$AH$50,MATCH($A788,'Attandance Tracker'!$A$3:$A$50,0),DAY($D788))="A","Absent","Leave")),"")</f>
        <v>Present</v>
      </c>
    </row>
    <row r="789" spans="1:9" x14ac:dyDescent="0.25">
      <c r="A789">
        <v>1026</v>
      </c>
      <c r="B789" t="str">
        <f>_xlfn.IFNA(INDEX('Attandance Tracker'!$B$3:$B$30,MATCH($A789,'Attandance Tracker'!$A$3:$A$30,0)),"")</f>
        <v xml:space="preserve"> Sonia</v>
      </c>
      <c r="C789" s="14" t="str">
        <f>_xlfn.IFNA(INDEX('Attandance Tracker'!$C$3:$C$30,MATCH($A789,'Attandance Tracker'!$A$3:$A$30,0)),"")</f>
        <v>HR</v>
      </c>
      <c r="D789" s="14">
        <v>11</v>
      </c>
      <c r="E789" s="7">
        <v>0.375</v>
      </c>
      <c r="F789" s="7">
        <v>0.75</v>
      </c>
      <c r="G789" s="7">
        <f t="shared" si="33"/>
        <v>0.33333333333333331</v>
      </c>
      <c r="H789" s="7">
        <f t="shared" si="34"/>
        <v>4.1666666666666685E-2</v>
      </c>
      <c r="I789" t="str">
        <f>IFERROR(IF(INDEX('Attandance Tracker'!$D$3:$AH$50,MATCH($A789,'Attandance Tracker'!$A$3:$A$50,0),DAY($D789))="P","Present",IF(INDEX('Attandance Tracker'!$D$3:$AH$50,MATCH($A789,'Attandance Tracker'!$A$3:$A$50,0),DAY($D789))="A","Absent","Leave")),"")</f>
        <v>Present</v>
      </c>
    </row>
    <row r="790" spans="1:9" x14ac:dyDescent="0.25">
      <c r="A790">
        <v>1026</v>
      </c>
      <c r="B790" t="str">
        <f>_xlfn.IFNA(INDEX('Attandance Tracker'!$B$3:$B$30,MATCH($A790,'Attandance Tracker'!$A$3:$A$30,0)),"")</f>
        <v xml:space="preserve"> Sonia</v>
      </c>
      <c r="C790" s="14" t="str">
        <f>_xlfn.IFNA(INDEX('Attandance Tracker'!$C$3:$C$30,MATCH($A790,'Attandance Tracker'!$A$3:$A$30,0)),"")</f>
        <v>HR</v>
      </c>
      <c r="D790" s="14">
        <v>12</v>
      </c>
      <c r="E790" s="7">
        <v>0.33333333333333331</v>
      </c>
      <c r="F790" s="7">
        <v>0.83333333333333337</v>
      </c>
      <c r="G790" s="7">
        <f t="shared" si="33"/>
        <v>0.33333333333333331</v>
      </c>
      <c r="H790" s="7">
        <f t="shared" si="34"/>
        <v>0.16666666666666669</v>
      </c>
      <c r="I790" t="str">
        <f>IFERROR(IF(INDEX('Attandance Tracker'!$D$3:$AH$50,MATCH($A790,'Attandance Tracker'!$A$3:$A$50,0),DAY($D790))="P","Present",IF(INDEX('Attandance Tracker'!$D$3:$AH$50,MATCH($A790,'Attandance Tracker'!$A$3:$A$50,0),DAY($D790))="A","Absent","Leave")),"")</f>
        <v>Present</v>
      </c>
    </row>
    <row r="791" spans="1:9" x14ac:dyDescent="0.25">
      <c r="A791">
        <v>1026</v>
      </c>
      <c r="B791" t="str">
        <f>_xlfn.IFNA(INDEX('Attandance Tracker'!$B$3:$B$30,MATCH($A791,'Attandance Tracker'!$A$3:$A$30,0)),"")</f>
        <v xml:space="preserve"> Sonia</v>
      </c>
      <c r="C791" s="14" t="str">
        <f>_xlfn.IFNA(INDEX('Attandance Tracker'!$C$3:$C$30,MATCH($A791,'Attandance Tracker'!$A$3:$A$30,0)),"")</f>
        <v>HR</v>
      </c>
      <c r="D791" s="14">
        <v>13</v>
      </c>
      <c r="E791" s="7">
        <v>0.33333333333333331</v>
      </c>
      <c r="F791" s="7">
        <v>0.83333333333333337</v>
      </c>
      <c r="G791" s="7">
        <f t="shared" si="33"/>
        <v>0.33333333333333331</v>
      </c>
      <c r="H791" s="7">
        <f t="shared" si="34"/>
        <v>0.16666666666666669</v>
      </c>
      <c r="I791" t="str">
        <f>IFERROR(IF(INDEX('Attandance Tracker'!$D$3:$AH$50,MATCH($A791,'Attandance Tracker'!$A$3:$A$50,0),DAY($D791))="P","Present",IF(INDEX('Attandance Tracker'!$D$3:$AH$50,MATCH($A791,'Attandance Tracker'!$A$3:$A$50,0),DAY($D791))="A","Absent","Leave")),"")</f>
        <v>Present</v>
      </c>
    </row>
    <row r="792" spans="1:9" x14ac:dyDescent="0.25">
      <c r="A792">
        <v>1026</v>
      </c>
      <c r="B792" t="str">
        <f>_xlfn.IFNA(INDEX('Attandance Tracker'!$B$3:$B$30,MATCH($A792,'Attandance Tracker'!$A$3:$A$30,0)),"")</f>
        <v xml:space="preserve"> Sonia</v>
      </c>
      <c r="C792" s="14" t="str">
        <f>_xlfn.IFNA(INDEX('Attandance Tracker'!$C$3:$C$30,MATCH($A792,'Attandance Tracker'!$A$3:$A$30,0)),"")</f>
        <v>HR</v>
      </c>
      <c r="D792" s="14">
        <v>14</v>
      </c>
      <c r="E792" s="7">
        <v>0.33333333333333331</v>
      </c>
      <c r="F792" s="7">
        <v>0.83333333333333337</v>
      </c>
      <c r="G792" s="7">
        <f t="shared" si="33"/>
        <v>0.33333333333333331</v>
      </c>
      <c r="H792" s="7">
        <f t="shared" si="34"/>
        <v>0.16666666666666669</v>
      </c>
      <c r="I792" t="str">
        <f>IFERROR(IF(INDEX('Attandance Tracker'!$D$3:$AH$50,MATCH($A792,'Attandance Tracker'!$A$3:$A$50,0),DAY($D792))="P","Present",IF(INDEX('Attandance Tracker'!$D$3:$AH$50,MATCH($A792,'Attandance Tracker'!$A$3:$A$50,0),DAY($D792))="A","Absent","Leave")),"")</f>
        <v>Present</v>
      </c>
    </row>
    <row r="793" spans="1:9" x14ac:dyDescent="0.25">
      <c r="A793">
        <v>1026</v>
      </c>
      <c r="B793" t="str">
        <f>_xlfn.IFNA(INDEX('Attandance Tracker'!$B$3:$B$30,MATCH($A793,'Attandance Tracker'!$A$3:$A$30,0)),"")</f>
        <v xml:space="preserve"> Sonia</v>
      </c>
      <c r="C793" s="14" t="str">
        <f>_xlfn.IFNA(INDEX('Attandance Tracker'!$C$3:$C$30,MATCH($A793,'Attandance Tracker'!$A$3:$A$30,0)),"")</f>
        <v>HR</v>
      </c>
      <c r="D793" s="14">
        <v>15</v>
      </c>
      <c r="E793" s="7">
        <v>0.375</v>
      </c>
      <c r="F793" s="7">
        <v>0.79166666666666663</v>
      </c>
      <c r="G793" s="7">
        <f t="shared" si="33"/>
        <v>0.33333333333333331</v>
      </c>
      <c r="H793" s="7">
        <f t="shared" si="34"/>
        <v>8.3333333333333315E-2</v>
      </c>
      <c r="I793" t="str">
        <f>IFERROR(IF(INDEX('Attandance Tracker'!$D$3:$AH$50,MATCH($A793,'Attandance Tracker'!$A$3:$A$50,0),DAY($D793))="P","Present",IF(INDEX('Attandance Tracker'!$D$3:$AH$50,MATCH($A793,'Attandance Tracker'!$A$3:$A$50,0),DAY($D793))="A","Absent","Leave")),"")</f>
        <v>Present</v>
      </c>
    </row>
    <row r="794" spans="1:9" x14ac:dyDescent="0.25">
      <c r="A794">
        <v>1026</v>
      </c>
      <c r="B794" t="str">
        <f>_xlfn.IFNA(INDEX('Attandance Tracker'!$B$3:$B$30,MATCH($A794,'Attandance Tracker'!$A$3:$A$30,0)),"")</f>
        <v xml:space="preserve"> Sonia</v>
      </c>
      <c r="C794" s="14" t="str">
        <f>_xlfn.IFNA(INDEX('Attandance Tracker'!$C$3:$C$30,MATCH($A794,'Attandance Tracker'!$A$3:$A$30,0)),"")</f>
        <v>HR</v>
      </c>
      <c r="D794" s="14">
        <v>16</v>
      </c>
      <c r="E794" s="7">
        <v>0.33333333333333331</v>
      </c>
      <c r="F794" s="7">
        <v>0.83333333333333337</v>
      </c>
      <c r="G794" s="7">
        <f t="shared" si="33"/>
        <v>0.33333333333333331</v>
      </c>
      <c r="H794" s="7">
        <f t="shared" si="34"/>
        <v>0.16666666666666669</v>
      </c>
      <c r="I794" t="str">
        <f>IFERROR(IF(INDEX('Attandance Tracker'!$D$3:$AH$50,MATCH($A794,'Attandance Tracker'!$A$3:$A$50,0),DAY($D794))="P","Present",IF(INDEX('Attandance Tracker'!$D$3:$AH$50,MATCH($A794,'Attandance Tracker'!$A$3:$A$50,0),DAY($D794))="A","Absent","Leave")),"")</f>
        <v>Present</v>
      </c>
    </row>
    <row r="795" spans="1:9" x14ac:dyDescent="0.25">
      <c r="A795">
        <v>1026</v>
      </c>
      <c r="B795" t="str">
        <f>_xlfn.IFNA(INDEX('Attandance Tracker'!$B$3:$B$30,MATCH($A795,'Attandance Tracker'!$A$3:$A$30,0)),"")</f>
        <v xml:space="preserve"> Sonia</v>
      </c>
      <c r="C795" s="14" t="str">
        <f>_xlfn.IFNA(INDEX('Attandance Tracker'!$C$3:$C$30,MATCH($A795,'Attandance Tracker'!$A$3:$A$30,0)),"")</f>
        <v>HR</v>
      </c>
      <c r="D795" s="14">
        <v>17</v>
      </c>
      <c r="E795" s="7">
        <v>0.33333333333333331</v>
      </c>
      <c r="F795" s="7">
        <v>0.75</v>
      </c>
      <c r="G795" s="7">
        <f t="shared" si="33"/>
        <v>0.33333333333333331</v>
      </c>
      <c r="H795" s="7">
        <f t="shared" si="34"/>
        <v>8.333333333333337E-2</v>
      </c>
      <c r="I795" t="str">
        <f>IFERROR(IF(INDEX('Attandance Tracker'!$D$3:$AH$50,MATCH($A795,'Attandance Tracker'!$A$3:$A$50,0),DAY($D795))="P","Present",IF(INDEX('Attandance Tracker'!$D$3:$AH$50,MATCH($A795,'Attandance Tracker'!$A$3:$A$50,0),DAY($D795))="A","Absent","Leave")),"")</f>
        <v>Present</v>
      </c>
    </row>
    <row r="796" spans="1:9" x14ac:dyDescent="0.25">
      <c r="A796">
        <v>1026</v>
      </c>
      <c r="B796" t="str">
        <f>_xlfn.IFNA(INDEX('Attandance Tracker'!$B$3:$B$30,MATCH($A796,'Attandance Tracker'!$A$3:$A$30,0)),"")</f>
        <v xml:space="preserve"> Sonia</v>
      </c>
      <c r="C796" s="14" t="str">
        <f>_xlfn.IFNA(INDEX('Attandance Tracker'!$C$3:$C$30,MATCH($A796,'Attandance Tracker'!$A$3:$A$30,0)),"")</f>
        <v>HR</v>
      </c>
      <c r="D796" s="14">
        <v>18</v>
      </c>
      <c r="E796" s="7">
        <v>0.375</v>
      </c>
      <c r="F796" s="7">
        <v>0.83333333333333337</v>
      </c>
      <c r="G796" s="7">
        <f t="shared" si="33"/>
        <v>0.33333333333333331</v>
      </c>
      <c r="H796" s="7">
        <f t="shared" si="34"/>
        <v>0.12500000000000006</v>
      </c>
      <c r="I796" t="str">
        <f>IFERROR(IF(INDEX('Attandance Tracker'!$D$3:$AH$50,MATCH($A796,'Attandance Tracker'!$A$3:$A$50,0),DAY($D796))="P","Present",IF(INDEX('Attandance Tracker'!$D$3:$AH$50,MATCH($A796,'Attandance Tracker'!$A$3:$A$50,0),DAY($D796))="A","Absent","Leave")),"")</f>
        <v>Present</v>
      </c>
    </row>
    <row r="797" spans="1:9" x14ac:dyDescent="0.25">
      <c r="A797">
        <v>1026</v>
      </c>
      <c r="B797" t="str">
        <f>_xlfn.IFNA(INDEX('Attandance Tracker'!$B$3:$B$30,MATCH($A797,'Attandance Tracker'!$A$3:$A$30,0)),"")</f>
        <v xml:space="preserve"> Sonia</v>
      </c>
      <c r="C797" s="14" t="str">
        <f>_xlfn.IFNA(INDEX('Attandance Tracker'!$C$3:$C$30,MATCH($A797,'Attandance Tracker'!$A$3:$A$30,0)),"")</f>
        <v>HR</v>
      </c>
      <c r="D797" s="14">
        <v>19</v>
      </c>
      <c r="E797" s="7">
        <v>0.375</v>
      </c>
      <c r="F797" s="7">
        <v>0.83333333333333337</v>
      </c>
      <c r="G797" s="7">
        <f t="shared" si="33"/>
        <v>0.33333333333333331</v>
      </c>
      <c r="H797" s="7">
        <f t="shared" si="34"/>
        <v>0.12500000000000006</v>
      </c>
      <c r="I797" t="str">
        <f>IFERROR(IF(INDEX('Attandance Tracker'!$D$3:$AH$50,MATCH($A797,'Attandance Tracker'!$A$3:$A$50,0),DAY($D797))="P","Present",IF(INDEX('Attandance Tracker'!$D$3:$AH$50,MATCH($A797,'Attandance Tracker'!$A$3:$A$50,0),DAY($D797))="A","Absent","Leave")),"")</f>
        <v>Present</v>
      </c>
    </row>
    <row r="798" spans="1:9" x14ac:dyDescent="0.25">
      <c r="A798">
        <v>1026</v>
      </c>
      <c r="B798" t="str">
        <f>_xlfn.IFNA(INDEX('Attandance Tracker'!$B$3:$B$30,MATCH($A798,'Attandance Tracker'!$A$3:$A$30,0)),"")</f>
        <v xml:space="preserve"> Sonia</v>
      </c>
      <c r="C798" s="14" t="str">
        <f>_xlfn.IFNA(INDEX('Attandance Tracker'!$C$3:$C$30,MATCH($A798,'Attandance Tracker'!$A$3:$A$30,0)),"")</f>
        <v>HR</v>
      </c>
      <c r="D798" s="14">
        <v>20</v>
      </c>
      <c r="E798" s="7">
        <v>0.375</v>
      </c>
      <c r="F798" s="7">
        <v>0.79166666666666663</v>
      </c>
      <c r="G798" s="7">
        <f t="shared" si="33"/>
        <v>0.33333333333333331</v>
      </c>
      <c r="H798" s="7">
        <f t="shared" si="34"/>
        <v>8.3333333333333315E-2</v>
      </c>
      <c r="I798" t="str">
        <f>IFERROR(IF(INDEX('Attandance Tracker'!$D$3:$AH$50,MATCH($A798,'Attandance Tracker'!$A$3:$A$50,0),DAY($D798))="P","Present",IF(INDEX('Attandance Tracker'!$D$3:$AH$50,MATCH($A798,'Attandance Tracker'!$A$3:$A$50,0),DAY($D798))="A","Absent","Leave")),"")</f>
        <v>Present</v>
      </c>
    </row>
    <row r="799" spans="1:9" x14ac:dyDescent="0.25">
      <c r="A799">
        <v>1026</v>
      </c>
      <c r="B799" t="str">
        <f>_xlfn.IFNA(INDEX('Attandance Tracker'!$B$3:$B$30,MATCH($A799,'Attandance Tracker'!$A$3:$A$30,0)),"")</f>
        <v xml:space="preserve"> Sonia</v>
      </c>
      <c r="C799" s="14" t="str">
        <f>_xlfn.IFNA(INDEX('Attandance Tracker'!$C$3:$C$30,MATCH($A799,'Attandance Tracker'!$A$3:$A$30,0)),"")</f>
        <v>HR</v>
      </c>
      <c r="D799" s="14">
        <v>21</v>
      </c>
      <c r="E799" s="7">
        <v>0.33333333333333331</v>
      </c>
      <c r="F799" s="7">
        <v>0.83333333333333337</v>
      </c>
      <c r="G799" s="7">
        <f t="shared" si="33"/>
        <v>0.33333333333333331</v>
      </c>
      <c r="H799" s="7">
        <f t="shared" si="34"/>
        <v>0.16666666666666669</v>
      </c>
      <c r="I799" t="str">
        <f>IFERROR(IF(INDEX('Attandance Tracker'!$D$3:$AH$50,MATCH($A799,'Attandance Tracker'!$A$3:$A$50,0),DAY($D799))="P","Present",IF(INDEX('Attandance Tracker'!$D$3:$AH$50,MATCH($A799,'Attandance Tracker'!$A$3:$A$50,0),DAY($D799))="A","Absent","Leave")),"")</f>
        <v>Present</v>
      </c>
    </row>
    <row r="800" spans="1:9" x14ac:dyDescent="0.25">
      <c r="A800">
        <v>1026</v>
      </c>
      <c r="B800" t="str">
        <f>_xlfn.IFNA(INDEX('Attandance Tracker'!$B$3:$B$30,MATCH($A800,'Attandance Tracker'!$A$3:$A$30,0)),"")</f>
        <v xml:space="preserve"> Sonia</v>
      </c>
      <c r="C800" s="14" t="str">
        <f>_xlfn.IFNA(INDEX('Attandance Tracker'!$C$3:$C$30,MATCH($A800,'Attandance Tracker'!$A$3:$A$30,0)),"")</f>
        <v>HR</v>
      </c>
      <c r="D800" s="14">
        <v>22</v>
      </c>
      <c r="E800" s="7">
        <v>0.33333333333333331</v>
      </c>
      <c r="F800" s="7">
        <v>0.75</v>
      </c>
      <c r="G800" s="7">
        <f t="shared" si="33"/>
        <v>0.33333333333333331</v>
      </c>
      <c r="H800" s="7">
        <f t="shared" si="34"/>
        <v>8.333333333333337E-2</v>
      </c>
      <c r="I800" t="str">
        <f>IFERROR(IF(INDEX('Attandance Tracker'!$D$3:$AH$50,MATCH($A800,'Attandance Tracker'!$A$3:$A$50,0),DAY($D800))="P","Present",IF(INDEX('Attandance Tracker'!$D$3:$AH$50,MATCH($A800,'Attandance Tracker'!$A$3:$A$50,0),DAY($D800))="A","Absent","Leave")),"")</f>
        <v>Present</v>
      </c>
    </row>
    <row r="801" spans="1:9" x14ac:dyDescent="0.25">
      <c r="A801">
        <v>1026</v>
      </c>
      <c r="B801" t="str">
        <f>_xlfn.IFNA(INDEX('Attandance Tracker'!$B$3:$B$30,MATCH($A801,'Attandance Tracker'!$A$3:$A$30,0)),"")</f>
        <v xml:space="preserve"> Sonia</v>
      </c>
      <c r="C801" s="14" t="str">
        <f>_xlfn.IFNA(INDEX('Attandance Tracker'!$C$3:$C$30,MATCH($A801,'Attandance Tracker'!$A$3:$A$30,0)),"")</f>
        <v>HR</v>
      </c>
      <c r="D801" s="14">
        <v>23</v>
      </c>
      <c r="E801" s="7">
        <v>0.33333333333333331</v>
      </c>
      <c r="F801" s="7">
        <v>0.79166666666666663</v>
      </c>
      <c r="G801" s="7">
        <f t="shared" si="33"/>
        <v>0.33333333333333331</v>
      </c>
      <c r="H801" s="7">
        <f t="shared" si="34"/>
        <v>0.125</v>
      </c>
      <c r="I801" t="str">
        <f>IFERROR(IF(INDEX('Attandance Tracker'!$D$3:$AH$50,MATCH($A801,'Attandance Tracker'!$A$3:$A$50,0),DAY($D801))="P","Present",IF(INDEX('Attandance Tracker'!$D$3:$AH$50,MATCH($A801,'Attandance Tracker'!$A$3:$A$50,0),DAY($D801))="A","Absent","Leave")),"")</f>
        <v>Present</v>
      </c>
    </row>
    <row r="802" spans="1:9" x14ac:dyDescent="0.25">
      <c r="A802">
        <v>1026</v>
      </c>
      <c r="B802" t="str">
        <f>_xlfn.IFNA(INDEX('Attandance Tracker'!$B$3:$B$30,MATCH($A802,'Attandance Tracker'!$A$3:$A$30,0)),"")</f>
        <v xml:space="preserve"> Sonia</v>
      </c>
      <c r="C802" s="14" t="str">
        <f>_xlfn.IFNA(INDEX('Attandance Tracker'!$C$3:$C$30,MATCH($A802,'Attandance Tracker'!$A$3:$A$30,0)),"")</f>
        <v>HR</v>
      </c>
      <c r="D802" s="14">
        <v>24</v>
      </c>
      <c r="E802" s="7">
        <v>0.33333333333333331</v>
      </c>
      <c r="F802" s="7">
        <v>0.83333333333333337</v>
      </c>
      <c r="G802" s="7">
        <f t="shared" si="33"/>
        <v>0.33333333333333331</v>
      </c>
      <c r="H802" s="7">
        <f t="shared" si="34"/>
        <v>0.16666666666666669</v>
      </c>
      <c r="I802" t="str">
        <f>IFERROR(IF(INDEX('Attandance Tracker'!$D$3:$AH$50,MATCH($A802,'Attandance Tracker'!$A$3:$A$50,0),DAY($D802))="P","Present",IF(INDEX('Attandance Tracker'!$D$3:$AH$50,MATCH($A802,'Attandance Tracker'!$A$3:$A$50,0),DAY($D802))="A","Absent","Leave")),"")</f>
        <v>Present</v>
      </c>
    </row>
    <row r="803" spans="1:9" x14ac:dyDescent="0.25">
      <c r="A803">
        <v>1026</v>
      </c>
      <c r="B803" t="str">
        <f>_xlfn.IFNA(INDEX('Attandance Tracker'!$B$3:$B$30,MATCH($A803,'Attandance Tracker'!$A$3:$A$30,0)),"")</f>
        <v xml:space="preserve"> Sonia</v>
      </c>
      <c r="C803" s="14" t="str">
        <f>_xlfn.IFNA(INDEX('Attandance Tracker'!$C$3:$C$30,MATCH($A803,'Attandance Tracker'!$A$3:$A$30,0)),"")</f>
        <v>HR</v>
      </c>
      <c r="D803" s="14">
        <v>25</v>
      </c>
      <c r="E803" s="7">
        <v>0.33333333333333331</v>
      </c>
      <c r="F803" s="7">
        <v>0.75</v>
      </c>
      <c r="G803" s="7">
        <f t="shared" si="33"/>
        <v>0.33333333333333331</v>
      </c>
      <c r="H803" s="7">
        <f t="shared" si="34"/>
        <v>8.333333333333337E-2</v>
      </c>
      <c r="I803" t="str">
        <f>IFERROR(IF(INDEX('Attandance Tracker'!$D$3:$AH$50,MATCH($A803,'Attandance Tracker'!$A$3:$A$50,0),DAY($D803))="P","Present",IF(INDEX('Attandance Tracker'!$D$3:$AH$50,MATCH($A803,'Attandance Tracker'!$A$3:$A$50,0),DAY($D803))="A","Absent","Leave")),"")</f>
        <v>Present</v>
      </c>
    </row>
    <row r="804" spans="1:9" x14ac:dyDescent="0.25">
      <c r="A804">
        <v>1026</v>
      </c>
      <c r="B804" t="str">
        <f>_xlfn.IFNA(INDEX('Attandance Tracker'!$B$3:$B$30,MATCH($A804,'Attandance Tracker'!$A$3:$A$30,0)),"")</f>
        <v xml:space="preserve"> Sonia</v>
      </c>
      <c r="C804" s="14" t="str">
        <f>_xlfn.IFNA(INDEX('Attandance Tracker'!$C$3:$C$30,MATCH($A804,'Attandance Tracker'!$A$3:$A$30,0)),"")</f>
        <v>HR</v>
      </c>
      <c r="D804" s="14">
        <v>26</v>
      </c>
      <c r="E804" s="7">
        <v>0.33333333333333331</v>
      </c>
      <c r="F804" s="7">
        <v>0.83333333333333337</v>
      </c>
      <c r="G804" s="7">
        <f t="shared" si="33"/>
        <v>0.33333333333333331</v>
      </c>
      <c r="H804" s="7">
        <f t="shared" si="34"/>
        <v>0.16666666666666669</v>
      </c>
      <c r="I804" t="str">
        <f>IFERROR(IF(INDEX('Attandance Tracker'!$D$3:$AH$50,MATCH($A804,'Attandance Tracker'!$A$3:$A$50,0),DAY($D804))="P","Present",IF(INDEX('Attandance Tracker'!$D$3:$AH$50,MATCH($A804,'Attandance Tracker'!$A$3:$A$50,0),DAY($D804))="A","Absent","Leave")),"")</f>
        <v>Present</v>
      </c>
    </row>
    <row r="805" spans="1:9" x14ac:dyDescent="0.25">
      <c r="A805">
        <v>1026</v>
      </c>
      <c r="B805" t="str">
        <f>_xlfn.IFNA(INDEX('Attandance Tracker'!$B$3:$B$30,MATCH($A805,'Attandance Tracker'!$A$3:$A$30,0)),"")</f>
        <v xml:space="preserve"> Sonia</v>
      </c>
      <c r="C805" s="14" t="str">
        <f>_xlfn.IFNA(INDEX('Attandance Tracker'!$C$3:$C$30,MATCH($A805,'Attandance Tracker'!$A$3:$A$30,0)),"")</f>
        <v>HR</v>
      </c>
      <c r="D805" s="14">
        <v>27</v>
      </c>
      <c r="E805" s="7">
        <v>0.33333333333333331</v>
      </c>
      <c r="F805" s="7">
        <v>0.83333333333333337</v>
      </c>
      <c r="G805" s="7">
        <f t="shared" si="33"/>
        <v>0.33333333333333331</v>
      </c>
      <c r="H805" s="7">
        <f t="shared" si="34"/>
        <v>0.16666666666666669</v>
      </c>
      <c r="I805" t="str">
        <f>IFERROR(IF(INDEX('Attandance Tracker'!$D$3:$AH$50,MATCH($A805,'Attandance Tracker'!$A$3:$A$50,0),DAY($D805))="P","Present",IF(INDEX('Attandance Tracker'!$D$3:$AH$50,MATCH($A805,'Attandance Tracker'!$A$3:$A$50,0),DAY($D805))="A","Absent","Leave")),"")</f>
        <v>Present</v>
      </c>
    </row>
    <row r="806" spans="1:9" x14ac:dyDescent="0.25">
      <c r="A806">
        <v>1026</v>
      </c>
      <c r="B806" t="str">
        <f>_xlfn.IFNA(INDEX('Attandance Tracker'!$B$3:$B$30,MATCH($A806,'Attandance Tracker'!$A$3:$A$30,0)),"")</f>
        <v xml:space="preserve"> Sonia</v>
      </c>
      <c r="C806" s="14" t="str">
        <f>_xlfn.IFNA(INDEX('Attandance Tracker'!$C$3:$C$30,MATCH($A806,'Attandance Tracker'!$A$3:$A$30,0)),"")</f>
        <v>HR</v>
      </c>
      <c r="D806" s="14">
        <v>28</v>
      </c>
      <c r="E806" s="7">
        <v>0.375</v>
      </c>
      <c r="F806" s="7">
        <v>0.75</v>
      </c>
      <c r="G806" s="7">
        <f t="shared" si="33"/>
        <v>0.33333333333333331</v>
      </c>
      <c r="H806" s="7">
        <f t="shared" si="34"/>
        <v>4.1666666666666685E-2</v>
      </c>
      <c r="I806" t="str">
        <f>IFERROR(IF(INDEX('Attandance Tracker'!$D$3:$AH$50,MATCH($A806,'Attandance Tracker'!$A$3:$A$50,0),DAY($D806))="P","Present",IF(INDEX('Attandance Tracker'!$D$3:$AH$50,MATCH($A806,'Attandance Tracker'!$A$3:$A$50,0),DAY($D806))="A","Absent","Leave")),"")</f>
        <v>Present</v>
      </c>
    </row>
    <row r="807" spans="1:9" x14ac:dyDescent="0.25">
      <c r="A807">
        <v>1026</v>
      </c>
      <c r="B807" t="str">
        <f>_xlfn.IFNA(INDEX('Attandance Tracker'!$B$3:$B$30,MATCH($A807,'Attandance Tracker'!$A$3:$A$30,0)),"")</f>
        <v xml:space="preserve"> Sonia</v>
      </c>
      <c r="C807" s="14" t="str">
        <f>_xlfn.IFNA(INDEX('Attandance Tracker'!$C$3:$C$30,MATCH($A807,'Attandance Tracker'!$A$3:$A$30,0)),"")</f>
        <v>HR</v>
      </c>
      <c r="D807" s="14">
        <v>29</v>
      </c>
      <c r="E807" s="7">
        <v>0.375</v>
      </c>
      <c r="F807" s="7">
        <v>0.83333333333333337</v>
      </c>
      <c r="G807" s="7">
        <f t="shared" si="33"/>
        <v>0.33333333333333331</v>
      </c>
      <c r="H807" s="7">
        <f t="shared" si="34"/>
        <v>0.12500000000000006</v>
      </c>
      <c r="I807" t="str">
        <f>IFERROR(IF(INDEX('Attandance Tracker'!$D$3:$AH$50,MATCH($A807,'Attandance Tracker'!$A$3:$A$50,0),DAY($D807))="P","Present",IF(INDEX('Attandance Tracker'!$D$3:$AH$50,MATCH($A807,'Attandance Tracker'!$A$3:$A$50,0),DAY($D807))="A","Absent","Leave")),"")</f>
        <v>Present</v>
      </c>
    </row>
    <row r="808" spans="1:9" x14ac:dyDescent="0.25">
      <c r="A808">
        <v>1026</v>
      </c>
      <c r="B808" t="str">
        <f>_xlfn.IFNA(INDEX('Attandance Tracker'!$B$3:$B$30,MATCH($A808,'Attandance Tracker'!$A$3:$A$30,0)),"")</f>
        <v xml:space="preserve"> Sonia</v>
      </c>
      <c r="C808" s="14" t="str">
        <f>_xlfn.IFNA(INDEX('Attandance Tracker'!$C$3:$C$30,MATCH($A808,'Attandance Tracker'!$A$3:$A$30,0)),"")</f>
        <v>HR</v>
      </c>
      <c r="D808" s="14">
        <v>30</v>
      </c>
      <c r="E808" s="7">
        <v>0.375</v>
      </c>
      <c r="F808" s="7">
        <v>0.83333333333333337</v>
      </c>
      <c r="G808" s="7">
        <f t="shared" si="33"/>
        <v>0.33333333333333331</v>
      </c>
      <c r="H808" s="7">
        <f t="shared" si="34"/>
        <v>0.12500000000000006</v>
      </c>
      <c r="I808" t="str">
        <f>IFERROR(IF(INDEX('Attandance Tracker'!$D$3:$AH$50,MATCH($A808,'Attandance Tracker'!$A$3:$A$50,0),DAY($D808))="P","Present",IF(INDEX('Attandance Tracker'!$D$3:$AH$50,MATCH($A808,'Attandance Tracker'!$A$3:$A$50,0),DAY($D808))="A","Absent","Leave")),"")</f>
        <v>Present</v>
      </c>
    </row>
    <row r="809" spans="1:9" x14ac:dyDescent="0.25">
      <c r="A809">
        <v>1026</v>
      </c>
      <c r="B809" t="str">
        <f>_xlfn.IFNA(INDEX('Attandance Tracker'!$B$3:$B$30,MATCH($A809,'Attandance Tracker'!$A$3:$A$30,0)),"")</f>
        <v xml:space="preserve"> Sonia</v>
      </c>
      <c r="C809" s="14" t="str">
        <f>_xlfn.IFNA(INDEX('Attandance Tracker'!$C$3:$C$30,MATCH($A809,'Attandance Tracker'!$A$3:$A$30,0)),"")</f>
        <v>HR</v>
      </c>
      <c r="D809" s="14">
        <v>31</v>
      </c>
      <c r="E809" s="7">
        <v>0.375</v>
      </c>
      <c r="F809" s="7">
        <v>0.79166666666666663</v>
      </c>
      <c r="G809" s="7">
        <f t="shared" si="33"/>
        <v>0.33333333333333331</v>
      </c>
      <c r="H809" s="7">
        <f t="shared" si="34"/>
        <v>8.3333333333333315E-2</v>
      </c>
      <c r="I809" t="str">
        <f>IFERROR(IF(INDEX('Attandance Tracker'!$D$3:$AH$50,MATCH($A809,'Attandance Tracker'!$A$3:$A$50,0),DAY($D809))="P","Present",IF(INDEX('Attandance Tracker'!$D$3:$AH$50,MATCH($A809,'Attandance Tracker'!$A$3:$A$50,0),DAY($D809))="A","Absent","Leave")),"")</f>
        <v>Present</v>
      </c>
    </row>
    <row r="810" spans="1:9" x14ac:dyDescent="0.25">
      <c r="A810">
        <v>1027</v>
      </c>
      <c r="B810" t="str">
        <f>_xlfn.IFNA(INDEX('Attandance Tracker'!$B$3:$B$30,MATCH($A810,'Attandance Tracker'!$A$3:$A$30,0)),"")</f>
        <v xml:space="preserve"> Ajay</v>
      </c>
      <c r="C810" s="14" t="str">
        <f>_xlfn.IFNA(INDEX('Attandance Tracker'!$C$3:$C$30,MATCH($A810,'Attandance Tracker'!$A$3:$A$30,0)),"")</f>
        <v>Finance</v>
      </c>
      <c r="D810" s="14">
        <v>1</v>
      </c>
      <c r="E810" s="7">
        <v>0.33333333333333331</v>
      </c>
      <c r="F810" s="7">
        <v>0.83333333333333337</v>
      </c>
      <c r="G810" s="7">
        <f t="shared" si="33"/>
        <v>0.33333333333333331</v>
      </c>
      <c r="H810" s="7">
        <f t="shared" si="34"/>
        <v>0.16666666666666669</v>
      </c>
      <c r="I810" t="str">
        <f>IFERROR(IF(INDEX('Attandance Tracker'!$D$3:$AH$50,MATCH($A810,'Attandance Tracker'!$A$3:$A$50,0),DAY($D810))="P","Present",IF(INDEX('Attandance Tracker'!$D$3:$AH$50,MATCH($A810,'Attandance Tracker'!$A$3:$A$50,0),DAY($D810))="A","Absent","Leave")),"")</f>
        <v>Present</v>
      </c>
    </row>
    <row r="811" spans="1:9" x14ac:dyDescent="0.25">
      <c r="A811">
        <v>1027</v>
      </c>
      <c r="B811" t="str">
        <f>_xlfn.IFNA(INDEX('Attandance Tracker'!$B$3:$B$30,MATCH($A811,'Attandance Tracker'!$A$3:$A$30,0)),"")</f>
        <v xml:space="preserve"> Ajay</v>
      </c>
      <c r="C811" s="14" t="str">
        <f>_xlfn.IFNA(INDEX('Attandance Tracker'!$C$3:$C$30,MATCH($A811,'Attandance Tracker'!$A$3:$A$30,0)),"")</f>
        <v>Finance</v>
      </c>
      <c r="D811" s="14">
        <v>2</v>
      </c>
      <c r="E811" s="7">
        <v>0.33333333333333331</v>
      </c>
      <c r="F811" s="7">
        <v>0.75</v>
      </c>
      <c r="G811" s="7">
        <f t="shared" si="33"/>
        <v>0.33333333333333331</v>
      </c>
      <c r="H811" s="7">
        <f t="shared" si="34"/>
        <v>8.333333333333337E-2</v>
      </c>
      <c r="I811" t="str">
        <f>IFERROR(IF(INDEX('Attandance Tracker'!$D$3:$AH$50,MATCH($A811,'Attandance Tracker'!$A$3:$A$50,0),DAY($D811))="P","Present",IF(INDEX('Attandance Tracker'!$D$3:$AH$50,MATCH($A811,'Attandance Tracker'!$A$3:$A$50,0),DAY($D811))="A","Absent","Leave")),"")</f>
        <v>Present</v>
      </c>
    </row>
    <row r="812" spans="1:9" x14ac:dyDescent="0.25">
      <c r="A812">
        <v>1027</v>
      </c>
      <c r="B812" t="str">
        <f>_xlfn.IFNA(INDEX('Attandance Tracker'!$B$3:$B$30,MATCH($A812,'Attandance Tracker'!$A$3:$A$30,0)),"")</f>
        <v xml:space="preserve"> Ajay</v>
      </c>
      <c r="C812" s="14" t="str">
        <f>_xlfn.IFNA(INDEX('Attandance Tracker'!$C$3:$C$30,MATCH($A812,'Attandance Tracker'!$A$3:$A$30,0)),"")</f>
        <v>Finance</v>
      </c>
      <c r="D812" s="14">
        <v>3</v>
      </c>
      <c r="E812" s="7">
        <v>0.33333333333333331</v>
      </c>
      <c r="F812" s="7">
        <v>0.79166666666666663</v>
      </c>
      <c r="G812" s="7">
        <f t="shared" si="33"/>
        <v>0.33333333333333331</v>
      </c>
      <c r="H812" s="7">
        <f t="shared" si="34"/>
        <v>0.125</v>
      </c>
      <c r="I812" t="str">
        <f>IFERROR(IF(INDEX('Attandance Tracker'!$D$3:$AH$50,MATCH($A812,'Attandance Tracker'!$A$3:$A$50,0),DAY($D812))="P","Present",IF(INDEX('Attandance Tracker'!$D$3:$AH$50,MATCH($A812,'Attandance Tracker'!$A$3:$A$50,0),DAY($D812))="A","Absent","Leave")),"")</f>
        <v>Present</v>
      </c>
    </row>
    <row r="813" spans="1:9" x14ac:dyDescent="0.25">
      <c r="A813">
        <v>1027</v>
      </c>
      <c r="B813" t="str">
        <f>_xlfn.IFNA(INDEX('Attandance Tracker'!$B$3:$B$30,MATCH($A813,'Attandance Tracker'!$A$3:$A$30,0)),"")</f>
        <v xml:space="preserve"> Ajay</v>
      </c>
      <c r="C813" s="14" t="str">
        <f>_xlfn.IFNA(INDEX('Attandance Tracker'!$C$3:$C$30,MATCH($A813,'Attandance Tracker'!$A$3:$A$30,0)),"")</f>
        <v>Finance</v>
      </c>
      <c r="D813" s="14">
        <v>4</v>
      </c>
      <c r="E813" s="7">
        <v>0.33333333333333331</v>
      </c>
      <c r="F813" s="7">
        <v>0.83333333333333337</v>
      </c>
      <c r="G813" s="7">
        <f t="shared" si="33"/>
        <v>0.33333333333333331</v>
      </c>
      <c r="H813" s="7">
        <f t="shared" si="34"/>
        <v>0.16666666666666669</v>
      </c>
      <c r="I813" t="str">
        <f>IFERROR(IF(INDEX('Attandance Tracker'!$D$3:$AH$50,MATCH($A813,'Attandance Tracker'!$A$3:$A$50,0),DAY($D813))="P","Present",IF(INDEX('Attandance Tracker'!$D$3:$AH$50,MATCH($A813,'Attandance Tracker'!$A$3:$A$50,0),DAY($D813))="A","Absent","Leave")),"")</f>
        <v>Present</v>
      </c>
    </row>
    <row r="814" spans="1:9" x14ac:dyDescent="0.25">
      <c r="A814">
        <v>1027</v>
      </c>
      <c r="B814" t="str">
        <f>_xlfn.IFNA(INDEX('Attandance Tracker'!$B$3:$B$30,MATCH($A814,'Attandance Tracker'!$A$3:$A$30,0)),"")</f>
        <v xml:space="preserve"> Ajay</v>
      </c>
      <c r="C814" s="14" t="str">
        <f>_xlfn.IFNA(INDEX('Attandance Tracker'!$C$3:$C$30,MATCH($A814,'Attandance Tracker'!$A$3:$A$30,0)),"")</f>
        <v>Finance</v>
      </c>
      <c r="D814" s="14">
        <v>5</v>
      </c>
      <c r="E814" s="7">
        <v>0.33333333333333331</v>
      </c>
      <c r="F814" s="7">
        <v>0.75</v>
      </c>
      <c r="G814" s="7">
        <f t="shared" si="33"/>
        <v>0.33333333333333331</v>
      </c>
      <c r="H814" s="7">
        <f t="shared" si="34"/>
        <v>8.333333333333337E-2</v>
      </c>
      <c r="I814" t="str">
        <f>IFERROR(IF(INDEX('Attandance Tracker'!$D$3:$AH$50,MATCH($A814,'Attandance Tracker'!$A$3:$A$50,0),DAY($D814))="P","Present",IF(INDEX('Attandance Tracker'!$D$3:$AH$50,MATCH($A814,'Attandance Tracker'!$A$3:$A$50,0),DAY($D814))="A","Absent","Leave")),"")</f>
        <v>Present</v>
      </c>
    </row>
    <row r="815" spans="1:9" x14ac:dyDescent="0.25">
      <c r="A815">
        <v>1027</v>
      </c>
      <c r="B815" t="str">
        <f>_xlfn.IFNA(INDEX('Attandance Tracker'!$B$3:$B$30,MATCH($A815,'Attandance Tracker'!$A$3:$A$30,0)),"")</f>
        <v xml:space="preserve"> Ajay</v>
      </c>
      <c r="C815" s="14" t="str">
        <f>_xlfn.IFNA(INDEX('Attandance Tracker'!$C$3:$C$30,MATCH($A815,'Attandance Tracker'!$A$3:$A$30,0)),"")</f>
        <v>Finance</v>
      </c>
      <c r="D815" s="14">
        <v>6</v>
      </c>
      <c r="E815" s="7">
        <v>0.33333333333333331</v>
      </c>
      <c r="F815" s="7">
        <v>0.83333333333333337</v>
      </c>
      <c r="G815" s="7">
        <f t="shared" si="33"/>
        <v>0.33333333333333331</v>
      </c>
      <c r="H815" s="7">
        <f t="shared" si="34"/>
        <v>0.16666666666666669</v>
      </c>
      <c r="I815" t="str">
        <f>IFERROR(IF(INDEX('Attandance Tracker'!$D$3:$AH$50,MATCH($A815,'Attandance Tracker'!$A$3:$A$50,0),DAY($D815))="P","Present",IF(INDEX('Attandance Tracker'!$D$3:$AH$50,MATCH($A815,'Attandance Tracker'!$A$3:$A$50,0),DAY($D815))="A","Absent","Leave")),"")</f>
        <v>Present</v>
      </c>
    </row>
    <row r="816" spans="1:9" x14ac:dyDescent="0.25">
      <c r="A816">
        <v>1027</v>
      </c>
      <c r="B816" t="str">
        <f>_xlfn.IFNA(INDEX('Attandance Tracker'!$B$3:$B$30,MATCH($A816,'Attandance Tracker'!$A$3:$A$30,0)),"")</f>
        <v xml:space="preserve"> Ajay</v>
      </c>
      <c r="C816" s="14" t="str">
        <f>_xlfn.IFNA(INDEX('Attandance Tracker'!$C$3:$C$30,MATCH($A816,'Attandance Tracker'!$A$3:$A$30,0)),"")</f>
        <v>Finance</v>
      </c>
      <c r="D816" s="14">
        <v>7</v>
      </c>
      <c r="E816" s="7">
        <v>0.33333333333333331</v>
      </c>
      <c r="F816" s="7">
        <v>0.83333333333333337</v>
      </c>
      <c r="G816" s="7">
        <f t="shared" si="33"/>
        <v>0.33333333333333331</v>
      </c>
      <c r="H816" s="7">
        <f t="shared" si="34"/>
        <v>0.16666666666666669</v>
      </c>
      <c r="I816" t="str">
        <f>IFERROR(IF(INDEX('Attandance Tracker'!$D$3:$AH$50,MATCH($A816,'Attandance Tracker'!$A$3:$A$50,0),DAY($D816))="P","Present",IF(INDEX('Attandance Tracker'!$D$3:$AH$50,MATCH($A816,'Attandance Tracker'!$A$3:$A$50,0),DAY($D816))="A","Absent","Leave")),"")</f>
        <v>Present</v>
      </c>
    </row>
    <row r="817" spans="1:9" x14ac:dyDescent="0.25">
      <c r="A817">
        <v>1027</v>
      </c>
      <c r="B817" t="str">
        <f>_xlfn.IFNA(INDEX('Attandance Tracker'!$B$3:$B$30,MATCH($A817,'Attandance Tracker'!$A$3:$A$30,0)),"")</f>
        <v xml:space="preserve"> Ajay</v>
      </c>
      <c r="C817" s="14" t="str">
        <f>_xlfn.IFNA(INDEX('Attandance Tracker'!$C$3:$C$30,MATCH($A817,'Attandance Tracker'!$A$3:$A$30,0)),"")</f>
        <v>Finance</v>
      </c>
      <c r="D817" s="14">
        <v>8</v>
      </c>
      <c r="E817" s="7">
        <v>0.375</v>
      </c>
      <c r="F817" s="7">
        <v>0.75</v>
      </c>
      <c r="G817" s="7">
        <f t="shared" si="33"/>
        <v>0.33333333333333331</v>
      </c>
      <c r="H817" s="7">
        <f t="shared" si="34"/>
        <v>4.1666666666666685E-2</v>
      </c>
      <c r="I817" t="str">
        <f>IFERROR(IF(INDEX('Attandance Tracker'!$D$3:$AH$50,MATCH($A817,'Attandance Tracker'!$A$3:$A$50,0),DAY($D817))="P","Present",IF(INDEX('Attandance Tracker'!$D$3:$AH$50,MATCH($A817,'Attandance Tracker'!$A$3:$A$50,0),DAY($D817))="A","Absent","Leave")),"")</f>
        <v>Present</v>
      </c>
    </row>
    <row r="818" spans="1:9" x14ac:dyDescent="0.25">
      <c r="A818">
        <v>1027</v>
      </c>
      <c r="B818" t="str">
        <f>_xlfn.IFNA(INDEX('Attandance Tracker'!$B$3:$B$30,MATCH($A818,'Attandance Tracker'!$A$3:$A$30,0)),"")</f>
        <v xml:space="preserve"> Ajay</v>
      </c>
      <c r="C818" s="14" t="str">
        <f>_xlfn.IFNA(INDEX('Attandance Tracker'!$C$3:$C$30,MATCH($A818,'Attandance Tracker'!$A$3:$A$30,0)),"")</f>
        <v>Finance</v>
      </c>
      <c r="D818" s="14">
        <v>9</v>
      </c>
      <c r="E818" s="7">
        <v>0.375</v>
      </c>
      <c r="F818" s="7">
        <v>0.83333333333333337</v>
      </c>
      <c r="G818" s="7">
        <f t="shared" si="33"/>
        <v>0.33333333333333331</v>
      </c>
      <c r="H818" s="7">
        <f t="shared" si="34"/>
        <v>0.12500000000000006</v>
      </c>
      <c r="I818" t="str">
        <f>IFERROR(IF(INDEX('Attandance Tracker'!$D$3:$AH$50,MATCH($A818,'Attandance Tracker'!$A$3:$A$50,0),DAY($D818))="P","Present",IF(INDEX('Attandance Tracker'!$D$3:$AH$50,MATCH($A818,'Attandance Tracker'!$A$3:$A$50,0),DAY($D818))="A","Absent","Leave")),"")</f>
        <v>Present</v>
      </c>
    </row>
    <row r="819" spans="1:9" x14ac:dyDescent="0.25">
      <c r="A819">
        <v>1027</v>
      </c>
      <c r="B819" t="str">
        <f>_xlfn.IFNA(INDEX('Attandance Tracker'!$B$3:$B$30,MATCH($A819,'Attandance Tracker'!$A$3:$A$30,0)),"")</f>
        <v xml:space="preserve"> Ajay</v>
      </c>
      <c r="C819" s="14" t="str">
        <f>_xlfn.IFNA(INDEX('Attandance Tracker'!$C$3:$C$30,MATCH($A819,'Attandance Tracker'!$A$3:$A$30,0)),"")</f>
        <v>Finance</v>
      </c>
      <c r="D819" s="14">
        <v>10</v>
      </c>
      <c r="E819" s="7">
        <v>0.33333333333333331</v>
      </c>
      <c r="F819" s="7">
        <v>0.83333333333333337</v>
      </c>
      <c r="G819" s="7">
        <f t="shared" si="33"/>
        <v>0.33333333333333331</v>
      </c>
      <c r="H819" s="7">
        <f t="shared" si="34"/>
        <v>0.16666666666666669</v>
      </c>
      <c r="I819" t="str">
        <f>IFERROR(IF(INDEX('Attandance Tracker'!$D$3:$AH$50,MATCH($A819,'Attandance Tracker'!$A$3:$A$50,0),DAY($D819))="P","Present",IF(INDEX('Attandance Tracker'!$D$3:$AH$50,MATCH($A819,'Attandance Tracker'!$A$3:$A$50,0),DAY($D819))="A","Absent","Leave")),"")</f>
        <v>Present</v>
      </c>
    </row>
    <row r="820" spans="1:9" x14ac:dyDescent="0.25">
      <c r="A820">
        <v>1027</v>
      </c>
      <c r="B820" t="str">
        <f>_xlfn.IFNA(INDEX('Attandance Tracker'!$B$3:$B$30,MATCH($A820,'Attandance Tracker'!$A$3:$A$30,0)),"")</f>
        <v xml:space="preserve"> Ajay</v>
      </c>
      <c r="C820" s="14" t="str">
        <f>_xlfn.IFNA(INDEX('Attandance Tracker'!$C$3:$C$30,MATCH($A820,'Attandance Tracker'!$A$3:$A$30,0)),"")</f>
        <v>Finance</v>
      </c>
      <c r="D820" s="14">
        <v>11</v>
      </c>
      <c r="E820" s="7">
        <v>0.375</v>
      </c>
      <c r="F820" s="7">
        <v>0.79166666666666663</v>
      </c>
      <c r="G820" s="7">
        <f t="shared" si="33"/>
        <v>0.33333333333333331</v>
      </c>
      <c r="H820" s="7">
        <f t="shared" si="34"/>
        <v>8.3333333333333315E-2</v>
      </c>
      <c r="I820" t="str">
        <f>IFERROR(IF(INDEX('Attandance Tracker'!$D$3:$AH$50,MATCH($A820,'Attandance Tracker'!$A$3:$A$50,0),DAY($D820))="P","Present",IF(INDEX('Attandance Tracker'!$D$3:$AH$50,MATCH($A820,'Attandance Tracker'!$A$3:$A$50,0),DAY($D820))="A","Absent","Leave")),"")</f>
        <v>Present</v>
      </c>
    </row>
    <row r="821" spans="1:9" x14ac:dyDescent="0.25">
      <c r="A821">
        <v>1027</v>
      </c>
      <c r="B821" t="str">
        <f>_xlfn.IFNA(INDEX('Attandance Tracker'!$B$3:$B$30,MATCH($A821,'Attandance Tracker'!$A$3:$A$30,0)),"")</f>
        <v xml:space="preserve"> Ajay</v>
      </c>
      <c r="C821" s="14" t="str">
        <f>_xlfn.IFNA(INDEX('Attandance Tracker'!$C$3:$C$30,MATCH($A821,'Attandance Tracker'!$A$3:$A$30,0)),"")</f>
        <v>Finance</v>
      </c>
      <c r="D821" s="14">
        <v>12</v>
      </c>
      <c r="E821" s="7">
        <v>0.375</v>
      </c>
      <c r="F821" s="7">
        <v>0.83333333333333337</v>
      </c>
      <c r="G821" s="7">
        <f t="shared" si="33"/>
        <v>0.33333333333333331</v>
      </c>
      <c r="H821" s="7">
        <f t="shared" si="34"/>
        <v>0.12500000000000006</v>
      </c>
      <c r="I821" t="str">
        <f>IFERROR(IF(INDEX('Attandance Tracker'!$D$3:$AH$50,MATCH($A821,'Attandance Tracker'!$A$3:$A$50,0),DAY($D821))="P","Present",IF(INDEX('Attandance Tracker'!$D$3:$AH$50,MATCH($A821,'Attandance Tracker'!$A$3:$A$50,0),DAY($D821))="A","Absent","Leave")),"")</f>
        <v>Present</v>
      </c>
    </row>
    <row r="822" spans="1:9" x14ac:dyDescent="0.25">
      <c r="A822">
        <v>1027</v>
      </c>
      <c r="B822" t="str">
        <f>_xlfn.IFNA(INDEX('Attandance Tracker'!$B$3:$B$30,MATCH($A822,'Attandance Tracker'!$A$3:$A$30,0)),"")</f>
        <v xml:space="preserve"> Ajay</v>
      </c>
      <c r="C822" s="14" t="str">
        <f>_xlfn.IFNA(INDEX('Attandance Tracker'!$C$3:$C$30,MATCH($A822,'Attandance Tracker'!$A$3:$A$30,0)),"")</f>
        <v>Finance</v>
      </c>
      <c r="D822" s="14">
        <v>13</v>
      </c>
      <c r="E822" s="7">
        <v>0.375</v>
      </c>
      <c r="F822" s="7">
        <v>0.75</v>
      </c>
      <c r="G822" s="7">
        <f t="shared" si="33"/>
        <v>0.33333333333333331</v>
      </c>
      <c r="H822" s="7">
        <f t="shared" si="34"/>
        <v>4.1666666666666685E-2</v>
      </c>
      <c r="I822" t="str">
        <f>IFERROR(IF(INDEX('Attandance Tracker'!$D$3:$AH$50,MATCH($A822,'Attandance Tracker'!$A$3:$A$50,0),DAY($D822))="P","Present",IF(INDEX('Attandance Tracker'!$D$3:$AH$50,MATCH($A822,'Attandance Tracker'!$A$3:$A$50,0),DAY($D822))="A","Absent","Leave")),"")</f>
        <v>Present</v>
      </c>
    </row>
    <row r="823" spans="1:9" x14ac:dyDescent="0.25">
      <c r="A823">
        <v>1027</v>
      </c>
      <c r="B823" t="str">
        <f>_xlfn.IFNA(INDEX('Attandance Tracker'!$B$3:$B$30,MATCH($A823,'Attandance Tracker'!$A$3:$A$30,0)),"")</f>
        <v xml:space="preserve"> Ajay</v>
      </c>
      <c r="C823" s="14" t="str">
        <f>_xlfn.IFNA(INDEX('Attandance Tracker'!$C$3:$C$30,MATCH($A823,'Attandance Tracker'!$A$3:$A$30,0)),"")</f>
        <v>Finance</v>
      </c>
      <c r="D823" s="14">
        <v>14</v>
      </c>
      <c r="E823" s="7">
        <v>0.33333333333333331</v>
      </c>
      <c r="F823" s="7">
        <v>0.79166666666666663</v>
      </c>
      <c r="G823" s="7">
        <f t="shared" si="33"/>
        <v>0.33333333333333331</v>
      </c>
      <c r="H823" s="7">
        <f t="shared" si="34"/>
        <v>0.125</v>
      </c>
      <c r="I823" t="str">
        <f>IFERROR(IF(INDEX('Attandance Tracker'!$D$3:$AH$50,MATCH($A823,'Attandance Tracker'!$A$3:$A$50,0),DAY($D823))="P","Present",IF(INDEX('Attandance Tracker'!$D$3:$AH$50,MATCH($A823,'Attandance Tracker'!$A$3:$A$50,0),DAY($D823))="A","Absent","Leave")),"")</f>
        <v>Present</v>
      </c>
    </row>
    <row r="824" spans="1:9" x14ac:dyDescent="0.25">
      <c r="A824">
        <v>1027</v>
      </c>
      <c r="B824" t="str">
        <f>_xlfn.IFNA(INDEX('Attandance Tracker'!$B$3:$B$30,MATCH($A824,'Attandance Tracker'!$A$3:$A$30,0)),"")</f>
        <v xml:space="preserve"> Ajay</v>
      </c>
      <c r="C824" s="14" t="str">
        <f>_xlfn.IFNA(INDEX('Attandance Tracker'!$C$3:$C$30,MATCH($A824,'Attandance Tracker'!$A$3:$A$30,0)),"")</f>
        <v>Finance</v>
      </c>
      <c r="D824" s="14">
        <v>15</v>
      </c>
      <c r="E824" s="7">
        <v>0.33333333333333331</v>
      </c>
      <c r="F824" s="7">
        <v>0.83333333333333337</v>
      </c>
      <c r="G824" s="7">
        <f t="shared" si="33"/>
        <v>0.33333333333333331</v>
      </c>
      <c r="H824" s="7">
        <f t="shared" si="34"/>
        <v>0.16666666666666669</v>
      </c>
      <c r="I824" t="str">
        <f>IFERROR(IF(INDEX('Attandance Tracker'!$D$3:$AH$50,MATCH($A824,'Attandance Tracker'!$A$3:$A$50,0),DAY($D824))="P","Present",IF(INDEX('Attandance Tracker'!$D$3:$AH$50,MATCH($A824,'Attandance Tracker'!$A$3:$A$50,0),DAY($D824))="A","Absent","Leave")),"")</f>
        <v>Present</v>
      </c>
    </row>
    <row r="825" spans="1:9" x14ac:dyDescent="0.25">
      <c r="A825">
        <v>1027</v>
      </c>
      <c r="B825" t="str">
        <f>_xlfn.IFNA(INDEX('Attandance Tracker'!$B$3:$B$30,MATCH($A825,'Attandance Tracker'!$A$3:$A$30,0)),"")</f>
        <v xml:space="preserve"> Ajay</v>
      </c>
      <c r="C825" s="14" t="str">
        <f>_xlfn.IFNA(INDEX('Attandance Tracker'!$C$3:$C$30,MATCH($A825,'Attandance Tracker'!$A$3:$A$30,0)),"")</f>
        <v>Finance</v>
      </c>
      <c r="D825" s="14">
        <v>16</v>
      </c>
      <c r="E825" s="7">
        <v>0.375</v>
      </c>
      <c r="F825" s="7">
        <v>0.75</v>
      </c>
      <c r="G825" s="7">
        <f t="shared" si="33"/>
        <v>0.33333333333333331</v>
      </c>
      <c r="H825" s="7">
        <f t="shared" si="34"/>
        <v>4.1666666666666685E-2</v>
      </c>
      <c r="I825" t="str">
        <f>IFERROR(IF(INDEX('Attandance Tracker'!$D$3:$AH$50,MATCH($A825,'Attandance Tracker'!$A$3:$A$50,0),DAY($D825))="P","Present",IF(INDEX('Attandance Tracker'!$D$3:$AH$50,MATCH($A825,'Attandance Tracker'!$A$3:$A$50,0),DAY($D825))="A","Absent","Leave")),"")</f>
        <v>Present</v>
      </c>
    </row>
    <row r="826" spans="1:9" x14ac:dyDescent="0.25">
      <c r="A826">
        <v>1027</v>
      </c>
      <c r="B826" t="str">
        <f>_xlfn.IFNA(INDEX('Attandance Tracker'!$B$3:$B$30,MATCH($A826,'Attandance Tracker'!$A$3:$A$30,0)),"")</f>
        <v xml:space="preserve"> Ajay</v>
      </c>
      <c r="C826" s="14" t="str">
        <f>_xlfn.IFNA(INDEX('Attandance Tracker'!$C$3:$C$30,MATCH($A826,'Attandance Tracker'!$A$3:$A$30,0)),"")</f>
        <v>Finance</v>
      </c>
      <c r="D826" s="14">
        <v>17</v>
      </c>
      <c r="E826" s="7">
        <v>0.375</v>
      </c>
      <c r="F826" s="7">
        <v>0.83333333333333337</v>
      </c>
      <c r="G826" s="7">
        <f t="shared" si="33"/>
        <v>0.33333333333333331</v>
      </c>
      <c r="H826" s="7">
        <f t="shared" si="34"/>
        <v>0.12500000000000006</v>
      </c>
      <c r="I826" t="str">
        <f>IFERROR(IF(INDEX('Attandance Tracker'!$D$3:$AH$50,MATCH($A826,'Attandance Tracker'!$A$3:$A$50,0),DAY($D826))="P","Present",IF(INDEX('Attandance Tracker'!$D$3:$AH$50,MATCH($A826,'Attandance Tracker'!$A$3:$A$50,0),DAY($D826))="A","Absent","Leave")),"")</f>
        <v>Present</v>
      </c>
    </row>
    <row r="827" spans="1:9" x14ac:dyDescent="0.25">
      <c r="A827">
        <v>1027</v>
      </c>
      <c r="B827" t="str">
        <f>_xlfn.IFNA(INDEX('Attandance Tracker'!$B$3:$B$30,MATCH($A827,'Attandance Tracker'!$A$3:$A$30,0)),"")</f>
        <v xml:space="preserve"> Ajay</v>
      </c>
      <c r="C827" s="14" t="str">
        <f>_xlfn.IFNA(INDEX('Attandance Tracker'!$C$3:$C$30,MATCH($A827,'Attandance Tracker'!$A$3:$A$30,0)),"")</f>
        <v>Finance</v>
      </c>
      <c r="D827" s="14">
        <v>18</v>
      </c>
      <c r="E827" s="7">
        <v>0.375</v>
      </c>
      <c r="F827" s="17">
        <v>0.875</v>
      </c>
      <c r="G827" s="7">
        <f t="shared" si="33"/>
        <v>0.33333333333333331</v>
      </c>
      <c r="H827" s="7">
        <f t="shared" si="34"/>
        <v>0.16666666666666669</v>
      </c>
      <c r="I827" t="str">
        <f>IFERROR(IF(INDEX('Attandance Tracker'!$D$3:$AH$50,MATCH($A827,'Attandance Tracker'!$A$3:$A$50,0),DAY($D827))="P","Present",IF(INDEX('Attandance Tracker'!$D$3:$AH$50,MATCH($A827,'Attandance Tracker'!$A$3:$A$50,0),DAY($D827))="A","Absent","Leave")),"")</f>
        <v>Present</v>
      </c>
    </row>
    <row r="828" spans="1:9" x14ac:dyDescent="0.25">
      <c r="A828">
        <v>1027</v>
      </c>
      <c r="B828" t="str">
        <f>_xlfn.IFNA(INDEX('Attandance Tracker'!$B$3:$B$30,MATCH($A828,'Attandance Tracker'!$A$3:$A$30,0)),"")</f>
        <v xml:space="preserve"> Ajay</v>
      </c>
      <c r="C828" s="14" t="str">
        <f>_xlfn.IFNA(INDEX('Attandance Tracker'!$C$3:$C$30,MATCH($A828,'Attandance Tracker'!$A$3:$A$30,0)),"")</f>
        <v>Finance</v>
      </c>
      <c r="D828" s="14">
        <v>19</v>
      </c>
      <c r="E828" s="7">
        <v>0.33333333333333331</v>
      </c>
      <c r="F828" s="7">
        <v>0.75</v>
      </c>
      <c r="G828" s="7">
        <f t="shared" si="33"/>
        <v>0.33333333333333331</v>
      </c>
      <c r="H828" s="7">
        <f t="shared" si="34"/>
        <v>8.333333333333337E-2</v>
      </c>
      <c r="I828" t="str">
        <f>IFERROR(IF(INDEX('Attandance Tracker'!$D$3:$AH$50,MATCH($A828,'Attandance Tracker'!$A$3:$A$50,0),DAY($D828))="P","Present",IF(INDEX('Attandance Tracker'!$D$3:$AH$50,MATCH($A828,'Attandance Tracker'!$A$3:$A$50,0),DAY($D828))="A","Absent","Leave")),"")</f>
        <v>Present</v>
      </c>
    </row>
    <row r="829" spans="1:9" x14ac:dyDescent="0.25">
      <c r="A829">
        <v>1027</v>
      </c>
      <c r="B829" t="str">
        <f>_xlfn.IFNA(INDEX('Attandance Tracker'!$B$3:$B$30,MATCH($A829,'Attandance Tracker'!$A$3:$A$30,0)),"")</f>
        <v xml:space="preserve"> Ajay</v>
      </c>
      <c r="C829" s="14" t="str">
        <f>_xlfn.IFNA(INDEX('Attandance Tracker'!$C$3:$C$30,MATCH($A829,'Attandance Tracker'!$A$3:$A$30,0)),"")</f>
        <v>Finance</v>
      </c>
      <c r="D829" s="14">
        <v>20</v>
      </c>
      <c r="E829" s="7">
        <v>0.33333333333333331</v>
      </c>
      <c r="F829" s="7">
        <v>0.83333333333333337</v>
      </c>
      <c r="G829" s="7">
        <f t="shared" si="33"/>
        <v>0.33333333333333331</v>
      </c>
      <c r="H829" s="7">
        <f t="shared" si="34"/>
        <v>0.16666666666666669</v>
      </c>
      <c r="I829" t="str">
        <f>IFERROR(IF(INDEX('Attandance Tracker'!$D$3:$AH$50,MATCH($A829,'Attandance Tracker'!$A$3:$A$50,0),DAY($D829))="P","Present",IF(INDEX('Attandance Tracker'!$D$3:$AH$50,MATCH($A829,'Attandance Tracker'!$A$3:$A$50,0),DAY($D829))="A","Absent","Leave")),"")</f>
        <v>Present</v>
      </c>
    </row>
    <row r="830" spans="1:9" x14ac:dyDescent="0.25">
      <c r="A830">
        <v>1027</v>
      </c>
      <c r="B830" t="str">
        <f>_xlfn.IFNA(INDEX('Attandance Tracker'!$B$3:$B$30,MATCH($A830,'Attandance Tracker'!$A$3:$A$30,0)),"")</f>
        <v xml:space="preserve"> Ajay</v>
      </c>
      <c r="C830" s="14" t="str">
        <f>_xlfn.IFNA(INDEX('Attandance Tracker'!$C$3:$C$30,MATCH($A830,'Attandance Tracker'!$A$3:$A$30,0)),"")</f>
        <v>Finance</v>
      </c>
      <c r="D830" s="14">
        <v>21</v>
      </c>
      <c r="E830" s="7">
        <v>0.33333333333333331</v>
      </c>
      <c r="F830" s="7">
        <v>0.83333333333333337</v>
      </c>
      <c r="G830" s="7">
        <f t="shared" si="33"/>
        <v>0.33333333333333331</v>
      </c>
      <c r="H830" s="7">
        <f t="shared" si="34"/>
        <v>0.16666666666666669</v>
      </c>
      <c r="I830" t="str">
        <f>IFERROR(IF(INDEX('Attandance Tracker'!$D$3:$AH$50,MATCH($A830,'Attandance Tracker'!$A$3:$A$50,0),DAY($D830))="P","Present",IF(INDEX('Attandance Tracker'!$D$3:$AH$50,MATCH($A830,'Attandance Tracker'!$A$3:$A$50,0),DAY($D830))="A","Absent","Leave")),"")</f>
        <v>Present</v>
      </c>
    </row>
    <row r="831" spans="1:9" x14ac:dyDescent="0.25">
      <c r="A831">
        <v>1027</v>
      </c>
      <c r="B831" t="str">
        <f>_xlfn.IFNA(INDEX('Attandance Tracker'!$B$3:$B$30,MATCH($A831,'Attandance Tracker'!$A$3:$A$30,0)),"")</f>
        <v xml:space="preserve"> Ajay</v>
      </c>
      <c r="C831" s="14" t="str">
        <f>_xlfn.IFNA(INDEX('Attandance Tracker'!$C$3:$C$30,MATCH($A831,'Attandance Tracker'!$A$3:$A$30,0)),"")</f>
        <v>Finance</v>
      </c>
      <c r="D831" s="14">
        <v>22</v>
      </c>
      <c r="E831" s="7">
        <v>0.33333333333333331</v>
      </c>
      <c r="F831" s="7">
        <v>0.75</v>
      </c>
      <c r="G831" s="7">
        <f t="shared" si="33"/>
        <v>0.33333333333333331</v>
      </c>
      <c r="H831" s="7">
        <f t="shared" si="34"/>
        <v>8.333333333333337E-2</v>
      </c>
      <c r="I831" t="str">
        <f>IFERROR(IF(INDEX('Attandance Tracker'!$D$3:$AH$50,MATCH($A831,'Attandance Tracker'!$A$3:$A$50,0),DAY($D831))="P","Present",IF(INDEX('Attandance Tracker'!$D$3:$AH$50,MATCH($A831,'Attandance Tracker'!$A$3:$A$50,0),DAY($D831))="A","Absent","Leave")),"")</f>
        <v>Present</v>
      </c>
    </row>
    <row r="832" spans="1:9" x14ac:dyDescent="0.25">
      <c r="A832">
        <v>1027</v>
      </c>
      <c r="B832" t="str">
        <f>_xlfn.IFNA(INDEX('Attandance Tracker'!$B$3:$B$30,MATCH($A832,'Attandance Tracker'!$A$3:$A$30,0)),"")</f>
        <v xml:space="preserve"> Ajay</v>
      </c>
      <c r="C832" s="14" t="str">
        <f>_xlfn.IFNA(INDEX('Attandance Tracker'!$C$3:$C$30,MATCH($A832,'Attandance Tracker'!$A$3:$A$30,0)),"")</f>
        <v>Finance</v>
      </c>
      <c r="D832" s="14">
        <v>23</v>
      </c>
      <c r="E832" s="7">
        <v>0.375</v>
      </c>
      <c r="F832" s="7">
        <v>0.83333333333333337</v>
      </c>
      <c r="G832" s="7">
        <f t="shared" si="33"/>
        <v>0.33333333333333331</v>
      </c>
      <c r="H832" s="7">
        <f t="shared" si="34"/>
        <v>0.12500000000000006</v>
      </c>
      <c r="I832" t="str">
        <f>IFERROR(IF(INDEX('Attandance Tracker'!$D$3:$AH$50,MATCH($A832,'Attandance Tracker'!$A$3:$A$50,0),DAY($D832))="P","Present",IF(INDEX('Attandance Tracker'!$D$3:$AH$50,MATCH($A832,'Attandance Tracker'!$A$3:$A$50,0),DAY($D832))="A","Absent","Leave")),"")</f>
        <v>Present</v>
      </c>
    </row>
    <row r="833" spans="1:9" x14ac:dyDescent="0.25">
      <c r="A833">
        <v>1027</v>
      </c>
      <c r="B833" t="str">
        <f>_xlfn.IFNA(INDEX('Attandance Tracker'!$B$3:$B$30,MATCH($A833,'Attandance Tracker'!$A$3:$A$30,0)),"")</f>
        <v xml:space="preserve"> Ajay</v>
      </c>
      <c r="C833" s="14" t="str">
        <f>_xlfn.IFNA(INDEX('Attandance Tracker'!$C$3:$C$30,MATCH($A833,'Attandance Tracker'!$A$3:$A$30,0)),"")</f>
        <v>Finance</v>
      </c>
      <c r="D833" s="14">
        <v>24</v>
      </c>
      <c r="E833" s="7">
        <v>0.375</v>
      </c>
      <c r="F833" s="7">
        <v>0.83333333333333337</v>
      </c>
      <c r="G833" s="7">
        <f t="shared" si="33"/>
        <v>0.33333333333333331</v>
      </c>
      <c r="H833" s="7">
        <f t="shared" si="34"/>
        <v>0.12500000000000006</v>
      </c>
      <c r="I833" t="str">
        <f>IFERROR(IF(INDEX('Attandance Tracker'!$D$3:$AH$50,MATCH($A833,'Attandance Tracker'!$A$3:$A$50,0),DAY($D833))="P","Present",IF(INDEX('Attandance Tracker'!$D$3:$AH$50,MATCH($A833,'Attandance Tracker'!$A$3:$A$50,0),DAY($D833))="A","Absent","Leave")),"")</f>
        <v>Present</v>
      </c>
    </row>
    <row r="834" spans="1:9" x14ac:dyDescent="0.25">
      <c r="A834">
        <v>1027</v>
      </c>
      <c r="B834" t="str">
        <f>_xlfn.IFNA(INDEX('Attandance Tracker'!$B$3:$B$30,MATCH($A834,'Attandance Tracker'!$A$3:$A$30,0)),"")</f>
        <v xml:space="preserve"> Ajay</v>
      </c>
      <c r="C834" s="14" t="str">
        <f>_xlfn.IFNA(INDEX('Attandance Tracker'!$C$3:$C$30,MATCH($A834,'Attandance Tracker'!$A$3:$A$30,0)),"")</f>
        <v>Finance</v>
      </c>
      <c r="D834" s="14">
        <v>25</v>
      </c>
      <c r="E834" s="7">
        <v>0.375</v>
      </c>
      <c r="F834" s="7">
        <v>0.79166666666666663</v>
      </c>
      <c r="G834" s="7">
        <f t="shared" si="33"/>
        <v>0.33333333333333331</v>
      </c>
      <c r="H834" s="7">
        <f t="shared" si="34"/>
        <v>8.3333333333333315E-2</v>
      </c>
      <c r="I834" t="str">
        <f>IFERROR(IF(INDEX('Attandance Tracker'!$D$3:$AH$50,MATCH($A834,'Attandance Tracker'!$A$3:$A$50,0),DAY($D834))="P","Present",IF(INDEX('Attandance Tracker'!$D$3:$AH$50,MATCH($A834,'Attandance Tracker'!$A$3:$A$50,0),DAY($D834))="A","Absent","Leave")),"")</f>
        <v>Present</v>
      </c>
    </row>
    <row r="835" spans="1:9" x14ac:dyDescent="0.25">
      <c r="A835">
        <v>1027</v>
      </c>
      <c r="B835" t="str">
        <f>_xlfn.IFNA(INDEX('Attandance Tracker'!$B$3:$B$30,MATCH($A835,'Attandance Tracker'!$A$3:$A$30,0)),"")</f>
        <v xml:space="preserve"> Ajay</v>
      </c>
      <c r="C835" s="14" t="str">
        <f>_xlfn.IFNA(INDEX('Attandance Tracker'!$C$3:$C$30,MATCH($A835,'Attandance Tracker'!$A$3:$A$30,0)),"")</f>
        <v>Finance</v>
      </c>
      <c r="D835" s="14">
        <v>26</v>
      </c>
      <c r="E835" s="7">
        <v>0.33333333333333331</v>
      </c>
      <c r="F835" s="7">
        <v>0.83333333333333337</v>
      </c>
      <c r="G835" s="7">
        <f t="shared" si="33"/>
        <v>0.33333333333333331</v>
      </c>
      <c r="H835" s="7">
        <f t="shared" si="34"/>
        <v>0.16666666666666669</v>
      </c>
      <c r="I835" t="str">
        <f>IFERROR(IF(INDEX('Attandance Tracker'!$D$3:$AH$50,MATCH($A835,'Attandance Tracker'!$A$3:$A$50,0),DAY($D835))="P","Present",IF(INDEX('Attandance Tracker'!$D$3:$AH$50,MATCH($A835,'Attandance Tracker'!$A$3:$A$50,0),DAY($D835))="A","Absent","Leave")),"")</f>
        <v>Present</v>
      </c>
    </row>
    <row r="836" spans="1:9" x14ac:dyDescent="0.25">
      <c r="A836">
        <v>1027</v>
      </c>
      <c r="B836" t="str">
        <f>_xlfn.IFNA(INDEX('Attandance Tracker'!$B$3:$B$30,MATCH($A836,'Attandance Tracker'!$A$3:$A$30,0)),"")</f>
        <v xml:space="preserve"> Ajay</v>
      </c>
      <c r="C836" s="14" t="str">
        <f>_xlfn.IFNA(INDEX('Attandance Tracker'!$C$3:$C$30,MATCH($A836,'Attandance Tracker'!$A$3:$A$30,0)),"")</f>
        <v>Finance</v>
      </c>
      <c r="D836" s="14">
        <v>27</v>
      </c>
      <c r="E836" s="7">
        <v>0.33333333333333331</v>
      </c>
      <c r="F836" s="7">
        <v>0.75</v>
      </c>
      <c r="G836" s="7">
        <f t="shared" si="33"/>
        <v>0.33333333333333331</v>
      </c>
      <c r="H836" s="7">
        <f t="shared" si="34"/>
        <v>8.333333333333337E-2</v>
      </c>
      <c r="I836" t="str">
        <f>IFERROR(IF(INDEX('Attandance Tracker'!$D$3:$AH$50,MATCH($A836,'Attandance Tracker'!$A$3:$A$50,0),DAY($D836))="P","Present",IF(INDEX('Attandance Tracker'!$D$3:$AH$50,MATCH($A836,'Attandance Tracker'!$A$3:$A$50,0),DAY($D836))="A","Absent","Leave")),"")</f>
        <v>Present</v>
      </c>
    </row>
    <row r="837" spans="1:9" x14ac:dyDescent="0.25">
      <c r="A837">
        <v>1027</v>
      </c>
      <c r="B837" t="str">
        <f>_xlfn.IFNA(INDEX('Attandance Tracker'!$B$3:$B$30,MATCH($A837,'Attandance Tracker'!$A$3:$A$30,0)),"")</f>
        <v xml:space="preserve"> Ajay</v>
      </c>
      <c r="C837" s="14" t="str">
        <f>_xlfn.IFNA(INDEX('Attandance Tracker'!$C$3:$C$30,MATCH($A837,'Attandance Tracker'!$A$3:$A$30,0)),"")</f>
        <v>Finance</v>
      </c>
      <c r="D837" s="14">
        <v>28</v>
      </c>
      <c r="E837" s="7">
        <v>0.33333333333333331</v>
      </c>
      <c r="F837" s="7">
        <v>0.79166666666666663</v>
      </c>
      <c r="G837" s="7">
        <f t="shared" ref="G837:G871" si="35">IF(I837="Present",MIN(F837-E837,8/24),IF(I837="Absent",8/24,0))</f>
        <v>0.33333333333333331</v>
      </c>
      <c r="H837" s="7">
        <f t="shared" ref="H837:H871" si="36">IF(I837="Present",MAX(0,F837-E837-8/24),0)</f>
        <v>0.125</v>
      </c>
      <c r="I837" t="str">
        <f>IFERROR(IF(INDEX('Attandance Tracker'!$D$3:$AH$50,MATCH($A837,'Attandance Tracker'!$A$3:$A$50,0),DAY($D837))="P","Present",IF(INDEX('Attandance Tracker'!$D$3:$AH$50,MATCH($A837,'Attandance Tracker'!$A$3:$A$50,0),DAY($D837))="A","Absent","Leave")),"")</f>
        <v>Present</v>
      </c>
    </row>
    <row r="838" spans="1:9" x14ac:dyDescent="0.25">
      <c r="A838">
        <v>1027</v>
      </c>
      <c r="B838" t="str">
        <f>_xlfn.IFNA(INDEX('Attandance Tracker'!$B$3:$B$30,MATCH($A838,'Attandance Tracker'!$A$3:$A$30,0)),"")</f>
        <v xml:space="preserve"> Ajay</v>
      </c>
      <c r="C838" s="14" t="str">
        <f>_xlfn.IFNA(INDEX('Attandance Tracker'!$C$3:$C$30,MATCH($A838,'Attandance Tracker'!$A$3:$A$30,0)),"")</f>
        <v>Finance</v>
      </c>
      <c r="D838" s="14">
        <v>29</v>
      </c>
      <c r="E838" s="7">
        <v>0.33333333333333331</v>
      </c>
      <c r="F838" s="7">
        <v>0.83333333333333337</v>
      </c>
      <c r="G838" s="7">
        <f t="shared" si="35"/>
        <v>0.33333333333333331</v>
      </c>
      <c r="H838" s="7">
        <f t="shared" si="36"/>
        <v>0.16666666666666669</v>
      </c>
      <c r="I838" t="str">
        <f>IFERROR(IF(INDEX('Attandance Tracker'!$D$3:$AH$50,MATCH($A838,'Attandance Tracker'!$A$3:$A$50,0),DAY($D838))="P","Present",IF(INDEX('Attandance Tracker'!$D$3:$AH$50,MATCH($A838,'Attandance Tracker'!$A$3:$A$50,0),DAY($D838))="A","Absent","Leave")),"")</f>
        <v>Present</v>
      </c>
    </row>
    <row r="839" spans="1:9" x14ac:dyDescent="0.25">
      <c r="A839">
        <v>1027</v>
      </c>
      <c r="B839" t="str">
        <f>_xlfn.IFNA(INDEX('Attandance Tracker'!$B$3:$B$30,MATCH($A839,'Attandance Tracker'!$A$3:$A$30,0)),"")</f>
        <v xml:space="preserve"> Ajay</v>
      </c>
      <c r="C839" s="14" t="str">
        <f>_xlfn.IFNA(INDEX('Attandance Tracker'!$C$3:$C$30,MATCH($A839,'Attandance Tracker'!$A$3:$A$30,0)),"")</f>
        <v>Finance</v>
      </c>
      <c r="D839" s="14">
        <v>30</v>
      </c>
      <c r="E839" s="7">
        <v>0.375</v>
      </c>
      <c r="F839" s="7">
        <v>0.75</v>
      </c>
      <c r="G839" s="7">
        <f t="shared" si="35"/>
        <v>0.33333333333333331</v>
      </c>
      <c r="H839" s="7">
        <f t="shared" si="36"/>
        <v>4.1666666666666685E-2</v>
      </c>
      <c r="I839" t="str">
        <f>IFERROR(IF(INDEX('Attandance Tracker'!$D$3:$AH$50,MATCH($A839,'Attandance Tracker'!$A$3:$A$50,0),DAY($D839))="P","Present",IF(INDEX('Attandance Tracker'!$D$3:$AH$50,MATCH($A839,'Attandance Tracker'!$A$3:$A$50,0),DAY($D839))="A","Absent","Leave")),"")</f>
        <v>Present</v>
      </c>
    </row>
    <row r="840" spans="1:9" x14ac:dyDescent="0.25">
      <c r="A840">
        <v>1027</v>
      </c>
      <c r="B840" t="str">
        <f>_xlfn.IFNA(INDEX('Attandance Tracker'!$B$3:$B$30,MATCH($A840,'Attandance Tracker'!$A$3:$A$30,0)),"")</f>
        <v xml:space="preserve"> Ajay</v>
      </c>
      <c r="C840" s="14" t="str">
        <f>_xlfn.IFNA(INDEX('Attandance Tracker'!$C$3:$C$30,MATCH($A840,'Attandance Tracker'!$A$3:$A$30,0)),"")</f>
        <v>Finance</v>
      </c>
      <c r="D840" s="14">
        <v>31</v>
      </c>
      <c r="E840" s="7">
        <v>0.375</v>
      </c>
      <c r="F840" s="7">
        <v>0.83333333333333337</v>
      </c>
      <c r="G840" s="7">
        <f t="shared" si="35"/>
        <v>0.33333333333333331</v>
      </c>
      <c r="H840" s="7">
        <f t="shared" si="36"/>
        <v>0.12500000000000006</v>
      </c>
      <c r="I840" t="str">
        <f>IFERROR(IF(INDEX('Attandance Tracker'!$D$3:$AH$50,MATCH($A840,'Attandance Tracker'!$A$3:$A$50,0),DAY($D840))="P","Present",IF(INDEX('Attandance Tracker'!$D$3:$AH$50,MATCH($A840,'Attandance Tracker'!$A$3:$A$50,0),DAY($D840))="A","Absent","Leave")),"")</f>
        <v>Present</v>
      </c>
    </row>
    <row r="841" spans="1:9" x14ac:dyDescent="0.25">
      <c r="A841">
        <v>1028</v>
      </c>
      <c r="B841" t="str">
        <f>_xlfn.IFNA(INDEX('Attandance Tracker'!$B$3:$B$30,MATCH($A841,'Attandance Tracker'!$A$3:$A$30,0)),"")</f>
        <v xml:space="preserve"> Preeti</v>
      </c>
      <c r="C841" s="14" t="str">
        <f>_xlfn.IFNA(INDEX('Attandance Tracker'!$C$3:$C$30,MATCH($A841,'Attandance Tracker'!$A$3:$A$30,0)),"")</f>
        <v>IT</v>
      </c>
      <c r="D841" s="14">
        <v>1</v>
      </c>
      <c r="E841" s="7">
        <v>0.375</v>
      </c>
      <c r="F841" s="17">
        <v>0.875</v>
      </c>
      <c r="G841" s="7">
        <f t="shared" si="35"/>
        <v>0.33333333333333331</v>
      </c>
      <c r="H841" s="7">
        <f t="shared" si="36"/>
        <v>0.16666666666666669</v>
      </c>
      <c r="I841" t="str">
        <f>IFERROR(IF(INDEX('Attandance Tracker'!$D$3:$AH$50,MATCH($A841,'Attandance Tracker'!$A$3:$A$50,0),DAY($D841))="P","Present",IF(INDEX('Attandance Tracker'!$D$3:$AH$50,MATCH($A841,'Attandance Tracker'!$A$3:$A$50,0),DAY($D841))="A","Absent","Leave")),"")</f>
        <v>Present</v>
      </c>
    </row>
    <row r="842" spans="1:9" x14ac:dyDescent="0.25">
      <c r="A842">
        <v>1028</v>
      </c>
      <c r="B842" t="str">
        <f>_xlfn.IFNA(INDEX('Attandance Tracker'!$B$3:$B$30,MATCH($A842,'Attandance Tracker'!$A$3:$A$30,0)),"")</f>
        <v xml:space="preserve"> Preeti</v>
      </c>
      <c r="C842" s="14" t="str">
        <f>_xlfn.IFNA(INDEX('Attandance Tracker'!$C$3:$C$30,MATCH($A842,'Attandance Tracker'!$A$3:$A$30,0)),"")</f>
        <v>IT</v>
      </c>
      <c r="D842" s="14">
        <v>2</v>
      </c>
      <c r="E842" s="7">
        <v>0.33333333333333331</v>
      </c>
      <c r="F842" s="7">
        <v>0.75</v>
      </c>
      <c r="G842" s="7">
        <f t="shared" si="35"/>
        <v>0.33333333333333331</v>
      </c>
      <c r="H842" s="7">
        <f t="shared" si="36"/>
        <v>8.333333333333337E-2</v>
      </c>
      <c r="I842" t="str">
        <f>IFERROR(IF(INDEX('Attandance Tracker'!$D$3:$AH$50,MATCH($A842,'Attandance Tracker'!$A$3:$A$50,0),DAY($D842))="P","Present",IF(INDEX('Attandance Tracker'!$D$3:$AH$50,MATCH($A842,'Attandance Tracker'!$A$3:$A$50,0),DAY($D842))="A","Absent","Leave")),"")</f>
        <v>Present</v>
      </c>
    </row>
    <row r="843" spans="1:9" x14ac:dyDescent="0.25">
      <c r="A843">
        <v>1028</v>
      </c>
      <c r="B843" t="str">
        <f>_xlfn.IFNA(INDEX('Attandance Tracker'!$B$3:$B$30,MATCH($A843,'Attandance Tracker'!$A$3:$A$30,0)),"")</f>
        <v xml:space="preserve"> Preeti</v>
      </c>
      <c r="C843" s="14" t="str">
        <f>_xlfn.IFNA(INDEX('Attandance Tracker'!$C$3:$C$30,MATCH($A843,'Attandance Tracker'!$A$3:$A$30,0)),"")</f>
        <v>IT</v>
      </c>
      <c r="D843" s="14">
        <v>3</v>
      </c>
      <c r="E843" s="7">
        <v>0.33333333333333331</v>
      </c>
      <c r="F843" s="7">
        <v>0.83333333333333337</v>
      </c>
      <c r="G843" s="7">
        <f t="shared" si="35"/>
        <v>0.33333333333333331</v>
      </c>
      <c r="H843" s="7">
        <f t="shared" si="36"/>
        <v>0.16666666666666669</v>
      </c>
      <c r="I843" t="str">
        <f>IFERROR(IF(INDEX('Attandance Tracker'!$D$3:$AH$50,MATCH($A843,'Attandance Tracker'!$A$3:$A$50,0),DAY($D843))="P","Present",IF(INDEX('Attandance Tracker'!$D$3:$AH$50,MATCH($A843,'Attandance Tracker'!$A$3:$A$50,0),DAY($D843))="A","Absent","Leave")),"")</f>
        <v>Present</v>
      </c>
    </row>
    <row r="844" spans="1:9" x14ac:dyDescent="0.25">
      <c r="A844">
        <v>1028</v>
      </c>
      <c r="B844" t="str">
        <f>_xlfn.IFNA(INDEX('Attandance Tracker'!$B$3:$B$30,MATCH($A844,'Attandance Tracker'!$A$3:$A$30,0)),"")</f>
        <v xml:space="preserve"> Preeti</v>
      </c>
      <c r="C844" s="14" t="str">
        <f>_xlfn.IFNA(INDEX('Attandance Tracker'!$C$3:$C$30,MATCH($A844,'Attandance Tracker'!$A$3:$A$30,0)),"")</f>
        <v>IT</v>
      </c>
      <c r="D844" s="14">
        <v>4</v>
      </c>
      <c r="E844" s="7">
        <v>0.33333333333333331</v>
      </c>
      <c r="F844" s="7">
        <v>0.83333333333333337</v>
      </c>
      <c r="G844" s="7">
        <f t="shared" si="35"/>
        <v>0.33333333333333331</v>
      </c>
      <c r="H844" s="7">
        <f t="shared" si="36"/>
        <v>0.16666666666666669</v>
      </c>
      <c r="I844" t="str">
        <f>IFERROR(IF(INDEX('Attandance Tracker'!$D$3:$AH$50,MATCH($A844,'Attandance Tracker'!$A$3:$A$50,0),DAY($D844))="P","Present",IF(INDEX('Attandance Tracker'!$D$3:$AH$50,MATCH($A844,'Attandance Tracker'!$A$3:$A$50,0),DAY($D844))="A","Absent","Leave")),"")</f>
        <v>Present</v>
      </c>
    </row>
    <row r="845" spans="1:9" x14ac:dyDescent="0.25">
      <c r="A845">
        <v>1028</v>
      </c>
      <c r="B845" t="str">
        <f>_xlfn.IFNA(INDEX('Attandance Tracker'!$B$3:$B$30,MATCH($A845,'Attandance Tracker'!$A$3:$A$30,0)),"")</f>
        <v xml:space="preserve"> Preeti</v>
      </c>
      <c r="C845" s="14" t="str">
        <f>_xlfn.IFNA(INDEX('Attandance Tracker'!$C$3:$C$30,MATCH($A845,'Attandance Tracker'!$A$3:$A$30,0)),"")</f>
        <v>IT</v>
      </c>
      <c r="D845" s="14">
        <v>5</v>
      </c>
      <c r="E845" s="7">
        <v>0.33333333333333331</v>
      </c>
      <c r="F845" s="7">
        <v>0.75</v>
      </c>
      <c r="G845" s="7">
        <f t="shared" si="35"/>
        <v>0.33333333333333331</v>
      </c>
      <c r="H845" s="7">
        <f t="shared" si="36"/>
        <v>8.333333333333337E-2</v>
      </c>
      <c r="I845" t="str">
        <f>IFERROR(IF(INDEX('Attandance Tracker'!$D$3:$AH$50,MATCH($A845,'Attandance Tracker'!$A$3:$A$50,0),DAY($D845))="P","Present",IF(INDEX('Attandance Tracker'!$D$3:$AH$50,MATCH($A845,'Attandance Tracker'!$A$3:$A$50,0),DAY($D845))="A","Absent","Leave")),"")</f>
        <v>Present</v>
      </c>
    </row>
    <row r="846" spans="1:9" x14ac:dyDescent="0.25">
      <c r="A846">
        <v>1028</v>
      </c>
      <c r="B846" t="str">
        <f>_xlfn.IFNA(INDEX('Attandance Tracker'!$B$3:$B$30,MATCH($A846,'Attandance Tracker'!$A$3:$A$30,0)),"")</f>
        <v xml:space="preserve"> Preeti</v>
      </c>
      <c r="C846" s="14" t="str">
        <f>_xlfn.IFNA(INDEX('Attandance Tracker'!$C$3:$C$30,MATCH($A846,'Attandance Tracker'!$A$3:$A$30,0)),"")</f>
        <v>IT</v>
      </c>
      <c r="D846" s="14">
        <v>6</v>
      </c>
      <c r="E846" s="7">
        <v>0.33333333333333331</v>
      </c>
      <c r="F846" s="7">
        <v>0.83333333333333337</v>
      </c>
      <c r="G846" s="7">
        <f t="shared" si="35"/>
        <v>0.33333333333333331</v>
      </c>
      <c r="H846" s="7">
        <f t="shared" si="36"/>
        <v>0.16666666666666669</v>
      </c>
      <c r="I846" t="str">
        <f>IFERROR(IF(INDEX('Attandance Tracker'!$D$3:$AH$50,MATCH($A846,'Attandance Tracker'!$A$3:$A$50,0),DAY($D846))="P","Present",IF(INDEX('Attandance Tracker'!$D$3:$AH$50,MATCH($A846,'Attandance Tracker'!$A$3:$A$50,0),DAY($D846))="A","Absent","Leave")),"")</f>
        <v>Present</v>
      </c>
    </row>
    <row r="847" spans="1:9" x14ac:dyDescent="0.25">
      <c r="A847">
        <v>1028</v>
      </c>
      <c r="B847" t="str">
        <f>_xlfn.IFNA(INDEX('Attandance Tracker'!$B$3:$B$30,MATCH($A847,'Attandance Tracker'!$A$3:$A$30,0)),"")</f>
        <v xml:space="preserve"> Preeti</v>
      </c>
      <c r="C847" s="14" t="str">
        <f>_xlfn.IFNA(INDEX('Attandance Tracker'!$C$3:$C$30,MATCH($A847,'Attandance Tracker'!$A$3:$A$30,0)),"")</f>
        <v>IT</v>
      </c>
      <c r="D847" s="14">
        <v>7</v>
      </c>
      <c r="E847" s="7">
        <v>0.375</v>
      </c>
      <c r="F847" s="7">
        <v>0.83333333333333337</v>
      </c>
      <c r="G847" s="7">
        <f t="shared" si="35"/>
        <v>0.33333333333333331</v>
      </c>
      <c r="H847" s="7">
        <f t="shared" si="36"/>
        <v>0.12500000000000006</v>
      </c>
      <c r="I847" t="str">
        <f>IFERROR(IF(INDEX('Attandance Tracker'!$D$3:$AH$50,MATCH($A847,'Attandance Tracker'!$A$3:$A$50,0),DAY($D847))="P","Present",IF(INDEX('Attandance Tracker'!$D$3:$AH$50,MATCH($A847,'Attandance Tracker'!$A$3:$A$50,0),DAY($D847))="A","Absent","Leave")),"")</f>
        <v>Present</v>
      </c>
    </row>
    <row r="848" spans="1:9" x14ac:dyDescent="0.25">
      <c r="A848">
        <v>1028</v>
      </c>
      <c r="B848" t="str">
        <f>_xlfn.IFNA(INDEX('Attandance Tracker'!$B$3:$B$30,MATCH($A848,'Attandance Tracker'!$A$3:$A$30,0)),"")</f>
        <v xml:space="preserve"> Preeti</v>
      </c>
      <c r="C848" s="14" t="str">
        <f>_xlfn.IFNA(INDEX('Attandance Tracker'!$C$3:$C$30,MATCH($A848,'Attandance Tracker'!$A$3:$A$30,0)),"")</f>
        <v>IT</v>
      </c>
      <c r="D848" s="14">
        <v>8</v>
      </c>
      <c r="E848" s="7">
        <v>0.375</v>
      </c>
      <c r="F848" s="7">
        <v>0.79166666666666663</v>
      </c>
      <c r="G848" s="7">
        <f t="shared" si="35"/>
        <v>0.33333333333333331</v>
      </c>
      <c r="H848" s="7">
        <f t="shared" si="36"/>
        <v>8.3333333333333315E-2</v>
      </c>
      <c r="I848" t="str">
        <f>IFERROR(IF(INDEX('Attandance Tracker'!$D$3:$AH$50,MATCH($A848,'Attandance Tracker'!$A$3:$A$50,0),DAY($D848))="P","Present",IF(INDEX('Attandance Tracker'!$D$3:$AH$50,MATCH($A848,'Attandance Tracker'!$A$3:$A$50,0),DAY($D848))="A","Absent","Leave")),"")</f>
        <v>Present</v>
      </c>
    </row>
    <row r="849" spans="1:9" x14ac:dyDescent="0.25">
      <c r="A849">
        <v>1028</v>
      </c>
      <c r="B849" t="str">
        <f>_xlfn.IFNA(INDEX('Attandance Tracker'!$B$3:$B$30,MATCH($A849,'Attandance Tracker'!$A$3:$A$30,0)),"")</f>
        <v xml:space="preserve"> Preeti</v>
      </c>
      <c r="C849" s="14" t="str">
        <f>_xlfn.IFNA(INDEX('Attandance Tracker'!$C$3:$C$30,MATCH($A849,'Attandance Tracker'!$A$3:$A$30,0)),"")</f>
        <v>IT</v>
      </c>
      <c r="D849" s="14">
        <v>9</v>
      </c>
      <c r="E849" s="7">
        <v>0.375</v>
      </c>
      <c r="F849" s="7">
        <v>0.83333333333333337</v>
      </c>
      <c r="G849" s="7">
        <f t="shared" si="35"/>
        <v>0.33333333333333331</v>
      </c>
      <c r="H849" s="7">
        <f t="shared" si="36"/>
        <v>0.12500000000000006</v>
      </c>
      <c r="I849" t="str">
        <f>IFERROR(IF(INDEX('Attandance Tracker'!$D$3:$AH$50,MATCH($A849,'Attandance Tracker'!$A$3:$A$50,0),DAY($D849))="P","Present",IF(INDEX('Attandance Tracker'!$D$3:$AH$50,MATCH($A849,'Attandance Tracker'!$A$3:$A$50,0),DAY($D849))="A","Absent","Leave")),"")</f>
        <v>Present</v>
      </c>
    </row>
    <row r="850" spans="1:9" x14ac:dyDescent="0.25">
      <c r="A850">
        <v>1028</v>
      </c>
      <c r="B850" t="str">
        <f>_xlfn.IFNA(INDEX('Attandance Tracker'!$B$3:$B$30,MATCH($A850,'Attandance Tracker'!$A$3:$A$30,0)),"")</f>
        <v xml:space="preserve"> Preeti</v>
      </c>
      <c r="C850" s="14" t="str">
        <f>_xlfn.IFNA(INDEX('Attandance Tracker'!$C$3:$C$30,MATCH($A850,'Attandance Tracker'!$A$3:$A$30,0)),"")</f>
        <v>IT</v>
      </c>
      <c r="D850" s="14">
        <v>10</v>
      </c>
      <c r="E850" s="7">
        <v>0.33333333333333331</v>
      </c>
      <c r="F850" s="7">
        <v>0.75</v>
      </c>
      <c r="G850" s="7">
        <f t="shared" si="35"/>
        <v>0.33333333333333331</v>
      </c>
      <c r="H850" s="7">
        <f t="shared" si="36"/>
        <v>8.333333333333337E-2</v>
      </c>
      <c r="I850" t="str">
        <f>IFERROR(IF(INDEX('Attandance Tracker'!$D$3:$AH$50,MATCH($A850,'Attandance Tracker'!$A$3:$A$50,0),DAY($D850))="P","Present",IF(INDEX('Attandance Tracker'!$D$3:$AH$50,MATCH($A850,'Attandance Tracker'!$A$3:$A$50,0),DAY($D850))="A","Absent","Leave")),"")</f>
        <v>Present</v>
      </c>
    </row>
    <row r="851" spans="1:9" x14ac:dyDescent="0.25">
      <c r="A851">
        <v>1028</v>
      </c>
      <c r="B851" t="str">
        <f>_xlfn.IFNA(INDEX('Attandance Tracker'!$B$3:$B$30,MATCH($A851,'Attandance Tracker'!$A$3:$A$30,0)),"")</f>
        <v xml:space="preserve"> Preeti</v>
      </c>
      <c r="C851" s="14" t="str">
        <f>_xlfn.IFNA(INDEX('Attandance Tracker'!$C$3:$C$30,MATCH($A851,'Attandance Tracker'!$A$3:$A$30,0)),"")</f>
        <v>IT</v>
      </c>
      <c r="D851" s="14">
        <v>11</v>
      </c>
      <c r="E851" s="7">
        <v>0.33333333333333331</v>
      </c>
      <c r="F851" s="7">
        <v>0.79166666666666663</v>
      </c>
      <c r="G851" s="7">
        <f t="shared" si="35"/>
        <v>0.33333333333333331</v>
      </c>
      <c r="H851" s="7">
        <f t="shared" si="36"/>
        <v>0.125</v>
      </c>
      <c r="I851" t="str">
        <f>IFERROR(IF(INDEX('Attandance Tracker'!$D$3:$AH$50,MATCH($A851,'Attandance Tracker'!$A$3:$A$50,0),DAY($D851))="P","Present",IF(INDEX('Attandance Tracker'!$D$3:$AH$50,MATCH($A851,'Attandance Tracker'!$A$3:$A$50,0),DAY($D851))="A","Absent","Leave")),"")</f>
        <v>Present</v>
      </c>
    </row>
    <row r="852" spans="1:9" x14ac:dyDescent="0.25">
      <c r="A852">
        <v>1028</v>
      </c>
      <c r="B852" t="str">
        <f>_xlfn.IFNA(INDEX('Attandance Tracker'!$B$3:$B$30,MATCH($A852,'Attandance Tracker'!$A$3:$A$30,0)),"")</f>
        <v xml:space="preserve"> Preeti</v>
      </c>
      <c r="C852" s="14" t="str">
        <f>_xlfn.IFNA(INDEX('Attandance Tracker'!$C$3:$C$30,MATCH($A852,'Attandance Tracker'!$A$3:$A$30,0)),"")</f>
        <v>IT</v>
      </c>
      <c r="D852" s="14">
        <v>12</v>
      </c>
      <c r="E852" s="7">
        <v>0.33333333333333331</v>
      </c>
      <c r="F852" s="7">
        <v>0.83333333333333337</v>
      </c>
      <c r="G852" s="7">
        <f t="shared" si="35"/>
        <v>0.33333333333333331</v>
      </c>
      <c r="H852" s="7">
        <f t="shared" si="36"/>
        <v>0.16666666666666669</v>
      </c>
      <c r="I852" t="str">
        <f>IFERROR(IF(INDEX('Attandance Tracker'!$D$3:$AH$50,MATCH($A852,'Attandance Tracker'!$A$3:$A$50,0),DAY($D852))="P","Present",IF(INDEX('Attandance Tracker'!$D$3:$AH$50,MATCH($A852,'Attandance Tracker'!$A$3:$A$50,0),DAY($D852))="A","Absent","Leave")),"")</f>
        <v>Present</v>
      </c>
    </row>
    <row r="853" spans="1:9" x14ac:dyDescent="0.25">
      <c r="A853">
        <v>1028</v>
      </c>
      <c r="B853" t="str">
        <f>_xlfn.IFNA(INDEX('Attandance Tracker'!$B$3:$B$30,MATCH($A853,'Attandance Tracker'!$A$3:$A$30,0)),"")</f>
        <v xml:space="preserve"> Preeti</v>
      </c>
      <c r="C853" s="14" t="str">
        <f>_xlfn.IFNA(INDEX('Attandance Tracker'!$C$3:$C$30,MATCH($A853,'Attandance Tracker'!$A$3:$A$30,0)),"")</f>
        <v>IT</v>
      </c>
      <c r="D853" s="14">
        <v>13</v>
      </c>
      <c r="E853" s="7">
        <v>0.33333333333333331</v>
      </c>
      <c r="F853" s="7">
        <v>0.75</v>
      </c>
      <c r="G853" s="7">
        <f t="shared" si="35"/>
        <v>0.33333333333333331</v>
      </c>
      <c r="H853" s="7">
        <f t="shared" si="36"/>
        <v>8.333333333333337E-2</v>
      </c>
      <c r="I853" t="str">
        <f>IFERROR(IF(INDEX('Attandance Tracker'!$D$3:$AH$50,MATCH($A853,'Attandance Tracker'!$A$3:$A$50,0),DAY($D853))="P","Present",IF(INDEX('Attandance Tracker'!$D$3:$AH$50,MATCH($A853,'Attandance Tracker'!$A$3:$A$50,0),DAY($D853))="A","Absent","Leave")),"")</f>
        <v>Present</v>
      </c>
    </row>
    <row r="854" spans="1:9" x14ac:dyDescent="0.25">
      <c r="A854">
        <v>1028</v>
      </c>
      <c r="B854" t="str">
        <f>_xlfn.IFNA(INDEX('Attandance Tracker'!$B$3:$B$30,MATCH($A854,'Attandance Tracker'!$A$3:$A$30,0)),"")</f>
        <v xml:space="preserve"> Preeti</v>
      </c>
      <c r="C854" s="14" t="str">
        <f>_xlfn.IFNA(INDEX('Attandance Tracker'!$C$3:$C$30,MATCH($A854,'Attandance Tracker'!$A$3:$A$30,0)),"")</f>
        <v>IT</v>
      </c>
      <c r="D854" s="14">
        <v>14</v>
      </c>
      <c r="E854" s="7">
        <v>0.375</v>
      </c>
      <c r="F854" s="7">
        <v>0.83333333333333337</v>
      </c>
      <c r="G854" s="7">
        <f t="shared" si="35"/>
        <v>0.33333333333333331</v>
      </c>
      <c r="H854" s="7">
        <f t="shared" si="36"/>
        <v>0.12500000000000006</v>
      </c>
      <c r="I854" t="str">
        <f>IFERROR(IF(INDEX('Attandance Tracker'!$D$3:$AH$50,MATCH($A854,'Attandance Tracker'!$A$3:$A$50,0),DAY($D854))="P","Present",IF(INDEX('Attandance Tracker'!$D$3:$AH$50,MATCH($A854,'Attandance Tracker'!$A$3:$A$50,0),DAY($D854))="A","Absent","Leave")),"")</f>
        <v>Present</v>
      </c>
    </row>
    <row r="855" spans="1:9" x14ac:dyDescent="0.25">
      <c r="A855">
        <v>1028</v>
      </c>
      <c r="B855" t="str">
        <f>_xlfn.IFNA(INDEX('Attandance Tracker'!$B$3:$B$30,MATCH($A855,'Attandance Tracker'!$A$3:$A$30,0)),"")</f>
        <v xml:space="preserve"> Preeti</v>
      </c>
      <c r="C855" s="14" t="str">
        <f>_xlfn.IFNA(INDEX('Attandance Tracker'!$C$3:$C$30,MATCH($A855,'Attandance Tracker'!$A$3:$A$30,0)),"")</f>
        <v>IT</v>
      </c>
      <c r="D855" s="14">
        <v>15</v>
      </c>
      <c r="E855" s="7">
        <v>0.375</v>
      </c>
      <c r="F855" s="17">
        <v>0.875</v>
      </c>
      <c r="G855" s="7">
        <f t="shared" si="35"/>
        <v>0.33333333333333331</v>
      </c>
      <c r="H855" s="7">
        <f t="shared" si="36"/>
        <v>0.16666666666666669</v>
      </c>
      <c r="I855" t="str">
        <f>IFERROR(IF(INDEX('Attandance Tracker'!$D$3:$AH$50,MATCH($A855,'Attandance Tracker'!$A$3:$A$50,0),DAY($D855))="P","Present",IF(INDEX('Attandance Tracker'!$D$3:$AH$50,MATCH($A855,'Attandance Tracker'!$A$3:$A$50,0),DAY($D855))="A","Absent","Leave")),"")</f>
        <v>Present</v>
      </c>
    </row>
    <row r="856" spans="1:9" x14ac:dyDescent="0.25">
      <c r="A856">
        <v>1028</v>
      </c>
      <c r="B856" t="str">
        <f>_xlfn.IFNA(INDEX('Attandance Tracker'!$B$3:$B$30,MATCH($A856,'Attandance Tracker'!$A$3:$A$30,0)),"")</f>
        <v xml:space="preserve"> Preeti</v>
      </c>
      <c r="C856" s="14" t="str">
        <f>_xlfn.IFNA(INDEX('Attandance Tracker'!$C$3:$C$30,MATCH($A856,'Attandance Tracker'!$A$3:$A$30,0)),"")</f>
        <v>IT</v>
      </c>
      <c r="D856" s="14">
        <v>16</v>
      </c>
      <c r="E856" s="7">
        <v>0.375</v>
      </c>
      <c r="F856" s="7">
        <v>0.75</v>
      </c>
      <c r="G856" s="7">
        <f t="shared" si="35"/>
        <v>0.33333333333333331</v>
      </c>
      <c r="H856" s="7">
        <f t="shared" si="36"/>
        <v>4.1666666666666685E-2</v>
      </c>
      <c r="I856" t="str">
        <f>IFERROR(IF(INDEX('Attandance Tracker'!$D$3:$AH$50,MATCH($A856,'Attandance Tracker'!$A$3:$A$50,0),DAY($D856))="P","Present",IF(INDEX('Attandance Tracker'!$D$3:$AH$50,MATCH($A856,'Attandance Tracker'!$A$3:$A$50,0),DAY($D856))="A","Absent","Leave")),"")</f>
        <v>Present</v>
      </c>
    </row>
    <row r="857" spans="1:9" x14ac:dyDescent="0.25">
      <c r="A857">
        <v>1028</v>
      </c>
      <c r="B857" t="str">
        <f>_xlfn.IFNA(INDEX('Attandance Tracker'!$B$3:$B$30,MATCH($A857,'Attandance Tracker'!$A$3:$A$30,0)),"")</f>
        <v xml:space="preserve"> Preeti</v>
      </c>
      <c r="C857" s="14" t="str">
        <f>_xlfn.IFNA(INDEX('Attandance Tracker'!$C$3:$C$30,MATCH($A857,'Attandance Tracker'!$A$3:$A$30,0)),"")</f>
        <v>IT</v>
      </c>
      <c r="D857" s="14">
        <v>17</v>
      </c>
      <c r="E857" s="7">
        <v>0.33333333333333331</v>
      </c>
      <c r="F857" s="7">
        <v>0.83333333333333337</v>
      </c>
      <c r="G857" s="7">
        <f t="shared" si="35"/>
        <v>0.33333333333333331</v>
      </c>
      <c r="H857" s="7">
        <f t="shared" si="36"/>
        <v>0.16666666666666669</v>
      </c>
      <c r="I857" t="str">
        <f>IFERROR(IF(INDEX('Attandance Tracker'!$D$3:$AH$50,MATCH($A857,'Attandance Tracker'!$A$3:$A$50,0),DAY($D857))="P","Present",IF(INDEX('Attandance Tracker'!$D$3:$AH$50,MATCH($A857,'Attandance Tracker'!$A$3:$A$50,0),DAY($D857))="A","Absent","Leave")),"")</f>
        <v>Present</v>
      </c>
    </row>
    <row r="858" spans="1:9" x14ac:dyDescent="0.25">
      <c r="A858">
        <v>1028</v>
      </c>
      <c r="B858" t="str">
        <f>_xlfn.IFNA(INDEX('Attandance Tracker'!$B$3:$B$30,MATCH($A858,'Attandance Tracker'!$A$3:$A$30,0)),"")</f>
        <v xml:space="preserve"> Preeti</v>
      </c>
      <c r="C858" s="14" t="str">
        <f>_xlfn.IFNA(INDEX('Attandance Tracker'!$C$3:$C$30,MATCH($A858,'Attandance Tracker'!$A$3:$A$30,0)),"")</f>
        <v>IT</v>
      </c>
      <c r="D858" s="14">
        <v>18</v>
      </c>
      <c r="E858" s="7">
        <v>0.33333333333333331</v>
      </c>
      <c r="F858" s="7">
        <v>0.83333333333333337</v>
      </c>
      <c r="G858" s="7">
        <f t="shared" si="35"/>
        <v>0.33333333333333331</v>
      </c>
      <c r="H858" s="7">
        <f t="shared" si="36"/>
        <v>0.16666666666666669</v>
      </c>
      <c r="I858" t="str">
        <f>IFERROR(IF(INDEX('Attandance Tracker'!$D$3:$AH$50,MATCH($A858,'Attandance Tracker'!$A$3:$A$50,0),DAY($D858))="P","Present",IF(INDEX('Attandance Tracker'!$D$3:$AH$50,MATCH($A858,'Attandance Tracker'!$A$3:$A$50,0),DAY($D858))="A","Absent","Leave")),"")</f>
        <v>Present</v>
      </c>
    </row>
    <row r="859" spans="1:9" x14ac:dyDescent="0.25">
      <c r="A859">
        <v>1028</v>
      </c>
      <c r="B859" t="str">
        <f>_xlfn.IFNA(INDEX('Attandance Tracker'!$B$3:$B$30,MATCH($A859,'Attandance Tracker'!$A$3:$A$30,0)),"")</f>
        <v xml:space="preserve"> Preeti</v>
      </c>
      <c r="C859" s="14" t="str">
        <f>_xlfn.IFNA(INDEX('Attandance Tracker'!$C$3:$C$30,MATCH($A859,'Attandance Tracker'!$A$3:$A$30,0)),"")</f>
        <v>IT</v>
      </c>
      <c r="D859" s="14">
        <v>19</v>
      </c>
      <c r="E859" s="7">
        <v>0.33333333333333331</v>
      </c>
      <c r="F859" s="7">
        <v>0.75</v>
      </c>
      <c r="G859" s="7">
        <f t="shared" si="35"/>
        <v>0.33333333333333331</v>
      </c>
      <c r="H859" s="7">
        <f t="shared" si="36"/>
        <v>8.333333333333337E-2</v>
      </c>
      <c r="I859" t="str">
        <f>IFERROR(IF(INDEX('Attandance Tracker'!$D$3:$AH$50,MATCH($A859,'Attandance Tracker'!$A$3:$A$50,0),DAY($D859))="P","Present",IF(INDEX('Attandance Tracker'!$D$3:$AH$50,MATCH($A859,'Attandance Tracker'!$A$3:$A$50,0),DAY($D859))="A","Absent","Leave")),"")</f>
        <v>Present</v>
      </c>
    </row>
    <row r="860" spans="1:9" x14ac:dyDescent="0.25">
      <c r="A860">
        <v>1028</v>
      </c>
      <c r="B860" t="str">
        <f>_xlfn.IFNA(INDEX('Attandance Tracker'!$B$3:$B$30,MATCH($A860,'Attandance Tracker'!$A$3:$A$30,0)),"")</f>
        <v xml:space="preserve"> Preeti</v>
      </c>
      <c r="C860" s="14" t="str">
        <f>_xlfn.IFNA(INDEX('Attandance Tracker'!$C$3:$C$30,MATCH($A860,'Attandance Tracker'!$A$3:$A$30,0)),"")</f>
        <v>IT</v>
      </c>
      <c r="D860" s="14">
        <v>20</v>
      </c>
      <c r="E860" s="7">
        <v>0.33333333333333331</v>
      </c>
      <c r="F860" s="7">
        <v>0.83333333333333337</v>
      </c>
      <c r="G860" s="7">
        <f t="shared" si="35"/>
        <v>0.33333333333333331</v>
      </c>
      <c r="H860" s="7">
        <f t="shared" si="36"/>
        <v>0.16666666666666669</v>
      </c>
      <c r="I860" t="str">
        <f>IFERROR(IF(INDEX('Attandance Tracker'!$D$3:$AH$50,MATCH($A860,'Attandance Tracker'!$A$3:$A$50,0),DAY($D860))="P","Present",IF(INDEX('Attandance Tracker'!$D$3:$AH$50,MATCH($A860,'Attandance Tracker'!$A$3:$A$50,0),DAY($D860))="A","Absent","Leave")),"")</f>
        <v>Present</v>
      </c>
    </row>
    <row r="861" spans="1:9" x14ac:dyDescent="0.25">
      <c r="A861">
        <v>1028</v>
      </c>
      <c r="B861" t="str">
        <f>_xlfn.IFNA(INDEX('Attandance Tracker'!$B$3:$B$30,MATCH($A861,'Attandance Tracker'!$A$3:$A$30,0)),"")</f>
        <v xml:space="preserve"> Preeti</v>
      </c>
      <c r="C861" s="14" t="str">
        <f>_xlfn.IFNA(INDEX('Attandance Tracker'!$C$3:$C$30,MATCH($A861,'Attandance Tracker'!$A$3:$A$30,0)),"")</f>
        <v>IT</v>
      </c>
      <c r="D861" s="14">
        <v>21</v>
      </c>
      <c r="E861" s="7">
        <v>0.33333333333333331</v>
      </c>
      <c r="F861" s="7">
        <v>0.83333333333333337</v>
      </c>
      <c r="G861" s="7">
        <f t="shared" si="35"/>
        <v>0.33333333333333331</v>
      </c>
      <c r="H861" s="7">
        <f t="shared" si="36"/>
        <v>0.16666666666666669</v>
      </c>
      <c r="I861" t="str">
        <f>IFERROR(IF(INDEX('Attandance Tracker'!$D$3:$AH$50,MATCH($A861,'Attandance Tracker'!$A$3:$A$50,0),DAY($D861))="P","Present",IF(INDEX('Attandance Tracker'!$D$3:$AH$50,MATCH($A861,'Attandance Tracker'!$A$3:$A$50,0),DAY($D861))="A","Absent","Leave")),"")</f>
        <v>Present</v>
      </c>
    </row>
    <row r="862" spans="1:9" x14ac:dyDescent="0.25">
      <c r="A862">
        <v>1028</v>
      </c>
      <c r="B862" t="str">
        <f>_xlfn.IFNA(INDEX('Attandance Tracker'!$B$3:$B$30,MATCH($A862,'Attandance Tracker'!$A$3:$A$30,0)),"")</f>
        <v xml:space="preserve"> Preeti</v>
      </c>
      <c r="C862" s="14" t="str">
        <f>_xlfn.IFNA(INDEX('Attandance Tracker'!$C$3:$C$30,MATCH($A862,'Attandance Tracker'!$A$3:$A$30,0)),"")</f>
        <v>IT</v>
      </c>
      <c r="D862" s="14">
        <v>22</v>
      </c>
      <c r="E862" s="7">
        <v>0.375</v>
      </c>
      <c r="F862" s="7">
        <v>0.79166666666666663</v>
      </c>
      <c r="G862" s="7">
        <f t="shared" si="35"/>
        <v>0.33333333333333331</v>
      </c>
      <c r="H862" s="7">
        <f t="shared" si="36"/>
        <v>8.3333333333333315E-2</v>
      </c>
      <c r="I862" t="str">
        <f>IFERROR(IF(INDEX('Attandance Tracker'!$D$3:$AH$50,MATCH($A862,'Attandance Tracker'!$A$3:$A$50,0),DAY($D862))="P","Present",IF(INDEX('Attandance Tracker'!$D$3:$AH$50,MATCH($A862,'Attandance Tracker'!$A$3:$A$50,0),DAY($D862))="A","Absent","Leave")),"")</f>
        <v>Present</v>
      </c>
    </row>
    <row r="863" spans="1:9" x14ac:dyDescent="0.25">
      <c r="A863">
        <v>1028</v>
      </c>
      <c r="B863" t="str">
        <f>_xlfn.IFNA(INDEX('Attandance Tracker'!$B$3:$B$30,MATCH($A863,'Attandance Tracker'!$A$3:$A$30,0)),"")</f>
        <v xml:space="preserve"> Preeti</v>
      </c>
      <c r="C863" s="14" t="str">
        <f>_xlfn.IFNA(INDEX('Attandance Tracker'!$C$3:$C$30,MATCH($A863,'Attandance Tracker'!$A$3:$A$30,0)),"")</f>
        <v>IT</v>
      </c>
      <c r="D863" s="14">
        <v>23</v>
      </c>
      <c r="E863" s="7">
        <v>0.375</v>
      </c>
      <c r="F863" s="7">
        <v>0.83333333333333337</v>
      </c>
      <c r="G863" s="7">
        <f t="shared" si="35"/>
        <v>0.33333333333333331</v>
      </c>
      <c r="H863" s="7">
        <f t="shared" si="36"/>
        <v>0.12500000000000006</v>
      </c>
      <c r="I863" t="str">
        <f>IFERROR(IF(INDEX('Attandance Tracker'!$D$3:$AH$50,MATCH($A863,'Attandance Tracker'!$A$3:$A$50,0),DAY($D863))="P","Present",IF(INDEX('Attandance Tracker'!$D$3:$AH$50,MATCH($A863,'Attandance Tracker'!$A$3:$A$50,0),DAY($D863))="A","Absent","Leave")),"")</f>
        <v>Present</v>
      </c>
    </row>
    <row r="864" spans="1:9" x14ac:dyDescent="0.25">
      <c r="A864">
        <v>1028</v>
      </c>
      <c r="B864" t="str">
        <f>_xlfn.IFNA(INDEX('Attandance Tracker'!$B$3:$B$30,MATCH($A864,'Attandance Tracker'!$A$3:$A$30,0)),"")</f>
        <v xml:space="preserve"> Preeti</v>
      </c>
      <c r="C864" s="14" t="str">
        <f>_xlfn.IFNA(INDEX('Attandance Tracker'!$C$3:$C$30,MATCH($A864,'Attandance Tracker'!$A$3:$A$30,0)),"")</f>
        <v>IT</v>
      </c>
      <c r="D864" s="14">
        <v>24</v>
      </c>
      <c r="E864" s="7">
        <v>0.375</v>
      </c>
      <c r="F864" s="7">
        <v>0.75</v>
      </c>
      <c r="G864" s="7">
        <f t="shared" si="35"/>
        <v>0.33333333333333331</v>
      </c>
      <c r="H864" s="7">
        <f t="shared" si="36"/>
        <v>4.1666666666666685E-2</v>
      </c>
      <c r="I864" t="str">
        <f>IFERROR(IF(INDEX('Attandance Tracker'!$D$3:$AH$50,MATCH($A864,'Attandance Tracker'!$A$3:$A$50,0),DAY($D864))="P","Present",IF(INDEX('Attandance Tracker'!$D$3:$AH$50,MATCH($A864,'Attandance Tracker'!$A$3:$A$50,0),DAY($D864))="A","Absent","Leave")),"")</f>
        <v>Present</v>
      </c>
    </row>
    <row r="865" spans="1:9" x14ac:dyDescent="0.25">
      <c r="A865">
        <v>1028</v>
      </c>
      <c r="B865" t="str">
        <f>_xlfn.IFNA(INDEX('Attandance Tracker'!$B$3:$B$30,MATCH($A865,'Attandance Tracker'!$A$3:$A$30,0)),"")</f>
        <v xml:space="preserve"> Preeti</v>
      </c>
      <c r="C865" s="14" t="str">
        <f>_xlfn.IFNA(INDEX('Attandance Tracker'!$C$3:$C$30,MATCH($A865,'Attandance Tracker'!$A$3:$A$30,0)),"")</f>
        <v>IT</v>
      </c>
      <c r="D865" s="14">
        <v>25</v>
      </c>
      <c r="E865" s="7">
        <v>0.33333333333333331</v>
      </c>
      <c r="F865" s="7">
        <v>0.79166666666666663</v>
      </c>
      <c r="G865" s="7">
        <f t="shared" si="35"/>
        <v>0.33333333333333331</v>
      </c>
      <c r="H865" s="7">
        <f t="shared" si="36"/>
        <v>0.125</v>
      </c>
      <c r="I865" t="str">
        <f>IFERROR(IF(INDEX('Attandance Tracker'!$D$3:$AH$50,MATCH($A865,'Attandance Tracker'!$A$3:$A$50,0),DAY($D865))="P","Present",IF(INDEX('Attandance Tracker'!$D$3:$AH$50,MATCH($A865,'Attandance Tracker'!$A$3:$A$50,0),DAY($D865))="A","Absent","Leave")),"")</f>
        <v>Present</v>
      </c>
    </row>
    <row r="866" spans="1:9" x14ac:dyDescent="0.25">
      <c r="A866">
        <v>1028</v>
      </c>
      <c r="B866" t="str">
        <f>_xlfn.IFNA(INDEX('Attandance Tracker'!$B$3:$B$30,MATCH($A866,'Attandance Tracker'!$A$3:$A$30,0)),"")</f>
        <v xml:space="preserve"> Preeti</v>
      </c>
      <c r="C866" s="14" t="str">
        <f>_xlfn.IFNA(INDEX('Attandance Tracker'!$C$3:$C$30,MATCH($A866,'Attandance Tracker'!$A$3:$A$30,0)),"")</f>
        <v>IT</v>
      </c>
      <c r="D866" s="14">
        <v>26</v>
      </c>
      <c r="E866" s="7">
        <v>0.33333333333333331</v>
      </c>
      <c r="F866" s="7">
        <v>0.83333333333333337</v>
      </c>
      <c r="G866" s="7">
        <f t="shared" si="35"/>
        <v>0.33333333333333331</v>
      </c>
      <c r="H866" s="7">
        <f t="shared" si="36"/>
        <v>0</v>
      </c>
      <c r="I866" t="str">
        <f>IFERROR(IF(INDEX('Attandance Tracker'!$D$3:$AH$50,MATCH($A866,'Attandance Tracker'!$A$3:$A$50,0),DAY($D866))="P","Present",IF(INDEX('Attandance Tracker'!$D$3:$AH$50,MATCH($A866,'Attandance Tracker'!$A$3:$A$50,0),DAY($D866))="A","Absent","Leave")),"")</f>
        <v>Absent</v>
      </c>
    </row>
    <row r="867" spans="1:9" x14ac:dyDescent="0.25">
      <c r="A867">
        <v>1028</v>
      </c>
      <c r="B867" t="str">
        <f>_xlfn.IFNA(INDEX('Attandance Tracker'!$B$3:$B$30,MATCH($A867,'Attandance Tracker'!$A$3:$A$30,0)),"")</f>
        <v xml:space="preserve"> Preeti</v>
      </c>
      <c r="C867" s="14" t="str">
        <f>_xlfn.IFNA(INDEX('Attandance Tracker'!$C$3:$C$30,MATCH($A867,'Attandance Tracker'!$A$3:$A$30,0)),"")</f>
        <v>IT</v>
      </c>
      <c r="D867" s="14">
        <v>27</v>
      </c>
      <c r="E867" s="7">
        <v>0.33333333333333331</v>
      </c>
      <c r="F867" s="7">
        <v>0.75</v>
      </c>
      <c r="G867" s="7">
        <f t="shared" si="35"/>
        <v>0.33333333333333331</v>
      </c>
      <c r="H867" s="7">
        <f t="shared" si="36"/>
        <v>0</v>
      </c>
      <c r="I867" t="str">
        <f>IFERROR(IF(INDEX('Attandance Tracker'!$D$3:$AH$50,MATCH($A867,'Attandance Tracker'!$A$3:$A$50,0),DAY($D867))="P","Present",IF(INDEX('Attandance Tracker'!$D$3:$AH$50,MATCH($A867,'Attandance Tracker'!$A$3:$A$50,0),DAY($D867))="A","Absent","Leave")),"")</f>
        <v>Absent</v>
      </c>
    </row>
    <row r="868" spans="1:9" x14ac:dyDescent="0.25">
      <c r="A868">
        <v>1028</v>
      </c>
      <c r="B868" t="str">
        <f>_xlfn.IFNA(INDEX('Attandance Tracker'!$B$3:$B$30,MATCH($A868,'Attandance Tracker'!$A$3:$A$30,0)),"")</f>
        <v xml:space="preserve"> Preeti</v>
      </c>
      <c r="C868" s="14" t="str">
        <f>_xlfn.IFNA(INDEX('Attandance Tracker'!$C$3:$C$30,MATCH($A868,'Attandance Tracker'!$A$3:$A$30,0)),"")</f>
        <v>IT</v>
      </c>
      <c r="D868" s="14">
        <v>28</v>
      </c>
      <c r="E868" s="7">
        <v>0.33333333333333331</v>
      </c>
      <c r="F868" s="7">
        <v>0.83333333333333337</v>
      </c>
      <c r="G868" s="7">
        <f t="shared" si="35"/>
        <v>0.33333333333333331</v>
      </c>
      <c r="H868" s="7">
        <f t="shared" si="36"/>
        <v>0.16666666666666669</v>
      </c>
      <c r="I868" t="str">
        <f>IFERROR(IF(INDEX('Attandance Tracker'!$D$3:$AH$50,MATCH($A868,'Attandance Tracker'!$A$3:$A$50,0),DAY($D868))="P","Present",IF(INDEX('Attandance Tracker'!$D$3:$AH$50,MATCH($A868,'Attandance Tracker'!$A$3:$A$50,0),DAY($D868))="A","Absent","Leave")),"")</f>
        <v>Present</v>
      </c>
    </row>
    <row r="869" spans="1:9" x14ac:dyDescent="0.25">
      <c r="A869">
        <v>1028</v>
      </c>
      <c r="B869" t="str">
        <f>_xlfn.IFNA(INDEX('Attandance Tracker'!$B$3:$B$30,MATCH($A869,'Attandance Tracker'!$A$3:$A$30,0)),"")</f>
        <v xml:space="preserve"> Preeti</v>
      </c>
      <c r="C869" s="14" t="str">
        <f>_xlfn.IFNA(INDEX('Attandance Tracker'!$C$3:$C$30,MATCH($A869,'Attandance Tracker'!$A$3:$A$30,0)),"")</f>
        <v>IT</v>
      </c>
      <c r="D869" s="14">
        <v>29</v>
      </c>
      <c r="E869" s="7">
        <v>0.375</v>
      </c>
      <c r="F869" s="17">
        <v>0.875</v>
      </c>
      <c r="G869" s="7">
        <f t="shared" si="35"/>
        <v>0.33333333333333331</v>
      </c>
      <c r="H869" s="7">
        <f t="shared" si="36"/>
        <v>0.16666666666666669</v>
      </c>
      <c r="I869" t="str">
        <f>IFERROR(IF(INDEX('Attandance Tracker'!$D$3:$AH$50,MATCH($A869,'Attandance Tracker'!$A$3:$A$50,0),DAY($D869))="P","Present",IF(INDEX('Attandance Tracker'!$D$3:$AH$50,MATCH($A869,'Attandance Tracker'!$A$3:$A$50,0),DAY($D869))="A","Absent","Leave")),"")</f>
        <v>Present</v>
      </c>
    </row>
    <row r="870" spans="1:9" x14ac:dyDescent="0.25">
      <c r="A870">
        <v>1028</v>
      </c>
      <c r="B870" t="str">
        <f>_xlfn.IFNA(INDEX('Attandance Tracker'!$B$3:$B$30,MATCH($A870,'Attandance Tracker'!$A$3:$A$30,0)),"")</f>
        <v xml:space="preserve"> Preeti</v>
      </c>
      <c r="C870" s="14" t="str">
        <f>_xlfn.IFNA(INDEX('Attandance Tracker'!$C$3:$C$30,MATCH($A870,'Attandance Tracker'!$A$3:$A$30,0)),"")</f>
        <v>IT</v>
      </c>
      <c r="D870" s="14">
        <v>30</v>
      </c>
      <c r="E870" s="7">
        <v>0.375</v>
      </c>
      <c r="F870" s="7">
        <v>0.79166666666666663</v>
      </c>
      <c r="G870" s="7">
        <f t="shared" si="35"/>
        <v>0.33333333333333331</v>
      </c>
      <c r="H870" s="7">
        <f t="shared" si="36"/>
        <v>8.3333333333333315E-2</v>
      </c>
      <c r="I870" t="str">
        <f>IFERROR(IF(INDEX('Attandance Tracker'!$D$3:$AH$50,MATCH($A870,'Attandance Tracker'!$A$3:$A$50,0),DAY($D870))="P","Present",IF(INDEX('Attandance Tracker'!$D$3:$AH$50,MATCH($A870,'Attandance Tracker'!$A$3:$A$50,0),DAY($D870))="A","Absent","Leave")),"")</f>
        <v>Present</v>
      </c>
    </row>
    <row r="871" spans="1:9" x14ac:dyDescent="0.25">
      <c r="A871">
        <v>1028</v>
      </c>
      <c r="B871" t="str">
        <f>_xlfn.IFNA(INDEX('Attandance Tracker'!$B$3:$B$30,MATCH($A871,'Attandance Tracker'!$A$3:$A$30,0)),"")</f>
        <v xml:space="preserve"> Preeti</v>
      </c>
      <c r="C871" s="14" t="str">
        <f>_xlfn.IFNA(INDEX('Attandance Tracker'!$C$3:$C$30,MATCH($A871,'Attandance Tracker'!$A$3:$A$30,0)),"")</f>
        <v>IT</v>
      </c>
      <c r="D871" s="14">
        <v>31</v>
      </c>
      <c r="E871" s="7">
        <v>0.375</v>
      </c>
      <c r="F871" s="7">
        <v>0.83333333333333337</v>
      </c>
      <c r="G871" s="7">
        <f t="shared" si="35"/>
        <v>0.33333333333333331</v>
      </c>
      <c r="H871" s="7">
        <f t="shared" si="36"/>
        <v>0.12500000000000006</v>
      </c>
      <c r="I871" t="str">
        <f>IFERROR(IF(INDEX('Attandance Tracker'!$D$3:$AH$50,MATCH($A871,'Attandance Tracker'!$A$3:$A$50,0),DAY($D871))="P","Present",IF(INDEX('Attandance Tracker'!$D$3:$AH$50,MATCH($A871,'Attandance Tracker'!$A$3:$A$50,0),DAY($D871))="A","Absent","Leave")),"")</f>
        <v>Present</v>
      </c>
    </row>
    <row r="872" spans="1:9" x14ac:dyDescent="0.25">
      <c r="E872" s="7"/>
      <c r="F872" s="7"/>
      <c r="G872" s="7"/>
      <c r="H872" s="7"/>
    </row>
    <row r="873" spans="1:9" x14ac:dyDescent="0.25">
      <c r="E873" s="7"/>
      <c r="F873" s="7"/>
      <c r="G873" s="7"/>
      <c r="H873" s="7"/>
    </row>
    <row r="874" spans="1:9" x14ac:dyDescent="0.25">
      <c r="E874" s="7"/>
      <c r="F874" s="7"/>
      <c r="G874" s="7"/>
      <c r="H874" s="7"/>
    </row>
    <row r="875" spans="1:9" x14ac:dyDescent="0.25">
      <c r="F875" s="7"/>
      <c r="G875" s="7"/>
      <c r="H875" s="7"/>
    </row>
    <row r="876" spans="1:9" x14ac:dyDescent="0.25">
      <c r="F876" s="7"/>
      <c r="G876" s="7"/>
      <c r="H876" s="7"/>
    </row>
    <row r="877" spans="1:9" x14ac:dyDescent="0.25">
      <c r="G877" s="7"/>
      <c r="H877" s="7"/>
    </row>
    <row r="878" spans="1:9" x14ac:dyDescent="0.25">
      <c r="G878" s="7"/>
      <c r="H878" s="7"/>
    </row>
    <row r="879" spans="1:9" x14ac:dyDescent="0.25">
      <c r="G879" s="7"/>
      <c r="H879" s="7"/>
    </row>
    <row r="880" spans="1:9" x14ac:dyDescent="0.25">
      <c r="G880" s="7"/>
      <c r="H880" s="7"/>
    </row>
    <row r="881" spans="7:8" x14ac:dyDescent="0.25">
      <c r="G881" s="7"/>
      <c r="H881" s="7"/>
    </row>
    <row r="882" spans="7:8" x14ac:dyDescent="0.25">
      <c r="G882" s="7"/>
      <c r="H882" s="7"/>
    </row>
    <row r="883" spans="7:8" x14ac:dyDescent="0.25">
      <c r="G883" s="7"/>
      <c r="H883" s="7"/>
    </row>
    <row r="884" spans="7:8" x14ac:dyDescent="0.25">
      <c r="G884" s="7"/>
      <c r="H884" s="7"/>
    </row>
    <row r="885" spans="7:8" x14ac:dyDescent="0.25">
      <c r="G885" s="7"/>
      <c r="H885" s="7"/>
    </row>
    <row r="886" spans="7:8" x14ac:dyDescent="0.25">
      <c r="G886" s="7"/>
      <c r="H886" s="7"/>
    </row>
    <row r="887" spans="7:8" x14ac:dyDescent="0.25">
      <c r="G887" s="7"/>
      <c r="H887" s="7"/>
    </row>
    <row r="888" spans="7:8" x14ac:dyDescent="0.25">
      <c r="G888" s="7"/>
      <c r="H888" s="7"/>
    </row>
    <row r="889" spans="7:8" x14ac:dyDescent="0.25">
      <c r="G889" s="7"/>
      <c r="H889" s="7"/>
    </row>
    <row r="890" spans="7:8" x14ac:dyDescent="0.25">
      <c r="G890" s="7"/>
      <c r="H890" s="7"/>
    </row>
    <row r="891" spans="7:8" x14ac:dyDescent="0.25">
      <c r="G891" s="7"/>
      <c r="H891" s="7"/>
    </row>
    <row r="892" spans="7:8" x14ac:dyDescent="0.25">
      <c r="G892" s="7"/>
      <c r="H892" s="7"/>
    </row>
    <row r="893" spans="7:8" x14ac:dyDescent="0.25">
      <c r="G893" s="7"/>
      <c r="H893" s="7"/>
    </row>
    <row r="894" spans="7:8" x14ac:dyDescent="0.25">
      <c r="G894" s="7"/>
      <c r="H894" s="7"/>
    </row>
    <row r="895" spans="7:8" x14ac:dyDescent="0.25">
      <c r="G895" s="7"/>
      <c r="H895" s="7"/>
    </row>
    <row r="896" spans="7:8" x14ac:dyDescent="0.25">
      <c r="G896" s="7"/>
      <c r="H896" s="7"/>
    </row>
    <row r="897" spans="7:8" x14ac:dyDescent="0.25">
      <c r="G897" s="7"/>
      <c r="H897" s="7"/>
    </row>
    <row r="898" spans="7:8" x14ac:dyDescent="0.25">
      <c r="G898" s="7"/>
      <c r="H898" s="7"/>
    </row>
    <row r="899" spans="7:8" x14ac:dyDescent="0.25">
      <c r="G899" s="7"/>
      <c r="H899" s="7"/>
    </row>
    <row r="900" spans="7:8" x14ac:dyDescent="0.25">
      <c r="G900" s="7"/>
      <c r="H900" s="7"/>
    </row>
    <row r="901" spans="7:8" x14ac:dyDescent="0.25">
      <c r="G901" s="7"/>
      <c r="H901" s="7"/>
    </row>
    <row r="902" spans="7:8" x14ac:dyDescent="0.25">
      <c r="G902" s="7"/>
      <c r="H902" s="7"/>
    </row>
    <row r="903" spans="7:8" x14ac:dyDescent="0.25">
      <c r="G903" s="7"/>
      <c r="H903" s="7"/>
    </row>
    <row r="904" spans="7:8" x14ac:dyDescent="0.25">
      <c r="G904" s="7"/>
      <c r="H904" s="7"/>
    </row>
    <row r="905" spans="7:8" x14ac:dyDescent="0.25">
      <c r="G905" s="7"/>
      <c r="H905" s="7"/>
    </row>
    <row r="906" spans="7:8" x14ac:dyDescent="0.25">
      <c r="G906" s="7"/>
      <c r="H906" s="7"/>
    </row>
    <row r="907" spans="7:8" x14ac:dyDescent="0.25">
      <c r="G907" s="7"/>
      <c r="H907" s="7"/>
    </row>
    <row r="908" spans="7:8" x14ac:dyDescent="0.25">
      <c r="G908" s="7"/>
      <c r="H908" s="7"/>
    </row>
    <row r="909" spans="7:8" x14ac:dyDescent="0.25">
      <c r="G909" s="7"/>
      <c r="H909" s="7"/>
    </row>
    <row r="910" spans="7:8" x14ac:dyDescent="0.25">
      <c r="G910" s="7"/>
      <c r="H910" s="7"/>
    </row>
    <row r="911" spans="7:8" x14ac:dyDescent="0.25">
      <c r="G911" s="7"/>
      <c r="H911" s="7"/>
    </row>
    <row r="912" spans="7:8" x14ac:dyDescent="0.25">
      <c r="G912" s="7"/>
      <c r="H912" s="7"/>
    </row>
  </sheetData>
  <mergeCells count="1">
    <mergeCell ref="L1:R2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A899C-537E-4C46-B113-F9D53D25E0F8}">
          <x14:formula1>
            <xm:f>'Attandance Tracker'!$A$3:$A$30</xm:f>
          </x14:formula1>
          <xm:sqref>L1:R2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5349-BD1C-400D-BC78-51C9B2F0F67F}">
  <sheetPr codeName="Sheet3"/>
  <dimension ref="A3:K31"/>
  <sheetViews>
    <sheetView zoomScale="80" zoomScaleNormal="80" workbookViewId="0">
      <selection activeCell="O16" sqref="O16"/>
    </sheetView>
  </sheetViews>
  <sheetFormatPr defaultRowHeight="15" x14ac:dyDescent="0.25"/>
  <cols>
    <col min="1" max="1" width="9.85546875" style="8" customWidth="1"/>
    <col min="2" max="2" width="16.85546875" style="8" bestFit="1" customWidth="1"/>
    <col min="3" max="3" width="14.85546875" style="8" customWidth="1"/>
    <col min="4" max="4" width="13.7109375" style="8" bestFit="1" customWidth="1"/>
    <col min="5" max="5" width="12.28515625" style="8" bestFit="1" customWidth="1"/>
    <col min="6" max="6" width="12.85546875" style="8" bestFit="1" customWidth="1"/>
    <col min="7" max="7" width="13.28515625" style="8" bestFit="1" customWidth="1"/>
    <col min="8" max="8" width="12.7109375" customWidth="1"/>
    <col min="9" max="9" width="14.42578125" customWidth="1"/>
    <col min="10" max="10" width="12.28515625" customWidth="1"/>
    <col min="11" max="11" width="14.42578125" customWidth="1"/>
  </cols>
  <sheetData>
    <row r="3" spans="1:11" ht="43.5" customHeight="1" x14ac:dyDescent="0.25">
      <c r="A3" s="1" t="s">
        <v>41</v>
      </c>
      <c r="B3" s="1" t="s">
        <v>47</v>
      </c>
      <c r="C3" s="1" t="s">
        <v>1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4" t="s">
        <v>144</v>
      </c>
      <c r="J3" s="4" t="s">
        <v>142</v>
      </c>
      <c r="K3" s="4" t="s">
        <v>143</v>
      </c>
    </row>
    <row r="4" spans="1:11" x14ac:dyDescent="0.25">
      <c r="A4" s="8">
        <v>1001</v>
      </c>
      <c r="B4" s="2" t="s">
        <v>106</v>
      </c>
      <c r="C4" s="9" t="s">
        <v>134</v>
      </c>
      <c r="D4" s="8">
        <f>COUNTIFS('Daily Entry'!A:A, A4, 'Daily Entry'!I:I, "Present")</f>
        <v>24</v>
      </c>
      <c r="E4" s="8">
        <f>COUNTIFS('Daily Entry'!A:A, A4, 'Daily Entry'!I:I, "Leave")</f>
        <v>4</v>
      </c>
      <c r="F4" s="8">
        <f>COUNTIFS('Daily Entry'!A:A, A4, 'Daily Entry'!I:I, "Absent")</f>
        <v>3</v>
      </c>
      <c r="G4" s="13">
        <f>IFERROR(SUMIF('Daily Entry'!A:A,A4,'Daily Entry'!G:G),0)</f>
        <v>8.9999999999999982</v>
      </c>
      <c r="H4" s="13">
        <f>IFERROR(SUMIF('Daily Entry'!A:A, A4, 'Daily Entry'!H:H), 0)</f>
        <v>2.3333333333333353</v>
      </c>
      <c r="I4" s="16">
        <f>(G4/TIME(1,0,0))*VLOOKUP(C4,'Pay Rate'!A:B,2,0)</f>
        <v>75599.999999999985</v>
      </c>
      <c r="J4" s="16">
        <f>(H4/TIME(1,0,0))*VLOOKUP(C4,'Pay Rate'!A:C,3,0)</f>
        <v>39200.000000000036</v>
      </c>
      <c r="K4" s="16">
        <f>I4+J4</f>
        <v>114800.00000000003</v>
      </c>
    </row>
    <row r="5" spans="1:11" x14ac:dyDescent="0.25">
      <c r="A5" s="8">
        <v>1002</v>
      </c>
      <c r="B5" s="2" t="s">
        <v>107</v>
      </c>
      <c r="C5" s="9" t="s">
        <v>134</v>
      </c>
      <c r="D5" s="8">
        <f>COUNTIFS('Daily Entry'!A:A, A5, 'Daily Entry'!I:I, "Present")</f>
        <v>28</v>
      </c>
      <c r="E5" s="8">
        <f>COUNTIFS('Daily Entry'!A:A, A5, 'Daily Entry'!I:I, "Leave")</f>
        <v>2</v>
      </c>
      <c r="F5" s="8">
        <f>COUNTIFS('Daily Entry'!A:A, A5, 'Daily Entry'!I:I, "Absent")</f>
        <v>1</v>
      </c>
      <c r="G5" s="13">
        <f>IFERROR(SUMIF('Daily Entry'!A:A,A5,'Daily Entry'!G:G),0)</f>
        <v>9.6666666666666661</v>
      </c>
      <c r="H5" s="13">
        <f>IFERROR(SUMIF('Daily Entry'!A:A, A5, 'Daily Entry'!H:H), 0)</f>
        <v>3.166666666666667</v>
      </c>
      <c r="I5" s="16">
        <f>(G5/TIME(1,0,0))*VLOOKUP(C5,'Pay Rate'!A:B,2,0)</f>
        <v>81200</v>
      </c>
      <c r="J5" s="16">
        <f>(H5/TIME(1,0,0))*VLOOKUP(C5,'Pay Rate'!A:C,3,0)</f>
        <v>53200.000000000007</v>
      </c>
      <c r="K5" s="16">
        <f t="shared" ref="K5:K31" si="0">I5+J5</f>
        <v>134400</v>
      </c>
    </row>
    <row r="6" spans="1:11" x14ac:dyDescent="0.25">
      <c r="A6" s="8">
        <v>1003</v>
      </c>
      <c r="B6" s="2" t="s">
        <v>108</v>
      </c>
      <c r="C6" s="9" t="s">
        <v>135</v>
      </c>
      <c r="D6" s="8">
        <f>COUNTIFS('Daily Entry'!A:A, A6, 'Daily Entry'!I:I, "Present")</f>
        <v>31</v>
      </c>
      <c r="E6" s="8">
        <f>COUNTIFS('Daily Entry'!A:A, A6, 'Daily Entry'!I:I, "Leave")</f>
        <v>0</v>
      </c>
      <c r="F6" s="8">
        <f>COUNTIFS('Daily Entry'!A:A, A6, 'Daily Entry'!I:I, "Absent")</f>
        <v>0</v>
      </c>
      <c r="G6" s="13">
        <f>IFERROR(SUMIF('Daily Entry'!A:A,A6,'Daily Entry'!G:G),0)</f>
        <v>10.333333333333334</v>
      </c>
      <c r="H6" s="13">
        <f>IFERROR(SUMIF('Daily Entry'!A:A, A6, 'Daily Entry'!H:H), 0)</f>
        <v>4.2083333333333339</v>
      </c>
      <c r="I6" s="16">
        <f>(G6/TIME(1,0,0))*VLOOKUP(C6,'Pay Rate'!A:B,2,0)</f>
        <v>74400.000000000015</v>
      </c>
      <c r="J6" s="16">
        <f>(H6/TIME(1,0,0))*VLOOKUP(C6,'Pay Rate'!A:C,3,0)</f>
        <v>60600.000000000007</v>
      </c>
      <c r="K6" s="16">
        <f t="shared" si="0"/>
        <v>135000.00000000003</v>
      </c>
    </row>
    <row r="7" spans="1:11" x14ac:dyDescent="0.25">
      <c r="A7" s="8">
        <v>1004</v>
      </c>
      <c r="B7" s="2" t="s">
        <v>109</v>
      </c>
      <c r="C7" s="9" t="s">
        <v>136</v>
      </c>
      <c r="D7" s="8">
        <f>COUNTIFS('Daily Entry'!A:A, A7, 'Daily Entry'!I:I, "Present")</f>
        <v>29</v>
      </c>
      <c r="E7" s="8">
        <f>COUNTIFS('Daily Entry'!A:A, A7, 'Daily Entry'!I:I, "Leave")</f>
        <v>0</v>
      </c>
      <c r="F7" s="8">
        <f>COUNTIFS('Daily Entry'!A:A, A7, 'Daily Entry'!I:I, "Absent")</f>
        <v>2</v>
      </c>
      <c r="G7" s="13">
        <f>IFERROR(SUMIF('Daily Entry'!A:A,A7,'Daily Entry'!G:G),0)</f>
        <v>10.333333333333334</v>
      </c>
      <c r="H7" s="13">
        <f>IFERROR(SUMIF('Daily Entry'!A:A, A7, 'Daily Entry'!H:H), 0)</f>
        <v>3.6666666666666656</v>
      </c>
      <c r="I7" s="16">
        <f>(G7/TIME(1,0,0))*VLOOKUP(C7,'Pay Rate'!A:B,2,0)</f>
        <v>99200.000000000015</v>
      </c>
      <c r="J7" s="16">
        <f>(H7/TIME(1,0,0))*VLOOKUP(C7,'Pay Rate'!A:C,3,0)</f>
        <v>70399.999999999985</v>
      </c>
      <c r="K7" s="16">
        <f t="shared" si="0"/>
        <v>169600</v>
      </c>
    </row>
    <row r="8" spans="1:11" x14ac:dyDescent="0.25">
      <c r="A8" s="8">
        <v>1005</v>
      </c>
      <c r="B8" s="2" t="s">
        <v>110</v>
      </c>
      <c r="C8" s="9" t="s">
        <v>137</v>
      </c>
      <c r="D8" s="8">
        <f>COUNTIFS('Daily Entry'!A:A, A8, 'Daily Entry'!I:I, "Present")</f>
        <v>30</v>
      </c>
      <c r="E8" s="8">
        <f>COUNTIFS('Daily Entry'!A:A, A8, 'Daily Entry'!I:I, "Leave")</f>
        <v>1</v>
      </c>
      <c r="F8" s="8">
        <f>COUNTIFS('Daily Entry'!A:A, A8, 'Daily Entry'!I:I, "Absent")</f>
        <v>0</v>
      </c>
      <c r="G8" s="13">
        <f>IFERROR(SUMIF('Daily Entry'!A:A,A8,'Daily Entry'!G:G),0)</f>
        <v>10</v>
      </c>
      <c r="H8" s="13">
        <f>IFERROR(SUMIF('Daily Entry'!A:A, A8, 'Daily Entry'!H:H), 0)</f>
        <v>3.875</v>
      </c>
      <c r="I8" s="16">
        <f>(G8/TIME(1,0,0))*VLOOKUP(C8,'Pay Rate'!A:B,2,0)</f>
        <v>88800</v>
      </c>
      <c r="J8" s="16">
        <f>(H8/TIME(1,0,0))*VLOOKUP(C8,'Pay Rate'!A:C,3,0)</f>
        <v>68820</v>
      </c>
      <c r="K8" s="16">
        <f t="shared" si="0"/>
        <v>157620</v>
      </c>
    </row>
    <row r="9" spans="1:11" x14ac:dyDescent="0.25">
      <c r="A9" s="8">
        <v>1006</v>
      </c>
      <c r="B9" s="2" t="s">
        <v>111</v>
      </c>
      <c r="C9" s="9" t="s">
        <v>138</v>
      </c>
      <c r="D9" s="8">
        <f>COUNTIFS('Daily Entry'!A:A, A9, 'Daily Entry'!I:I, "Present")</f>
        <v>31</v>
      </c>
      <c r="E9" s="8">
        <f>COUNTIFS('Daily Entry'!A:A, A9, 'Daily Entry'!I:I, "Leave")</f>
        <v>0</v>
      </c>
      <c r="F9" s="8">
        <f>COUNTIFS('Daily Entry'!A:A, A9, 'Daily Entry'!I:I, "Absent")</f>
        <v>0</v>
      </c>
      <c r="G9" s="13">
        <f>IFERROR(SUMIF('Daily Entry'!A:A,A9,'Daily Entry'!G:G),0)</f>
        <v>10.333333333333334</v>
      </c>
      <c r="H9" s="13">
        <f>IFERROR(SUMIF('Daily Entry'!A:A, A9, 'Daily Entry'!H:H), 0)</f>
        <v>4.333333333333333</v>
      </c>
      <c r="I9" s="16">
        <f>(G9/TIME(1,0,0))*VLOOKUP(C9,'Pay Rate'!A:B,2,0)</f>
        <v>66960.000000000015</v>
      </c>
      <c r="J9" s="16">
        <f>(H9/TIME(1,0,0))*VLOOKUP(C9,'Pay Rate'!A:C,3,0)</f>
        <v>56160</v>
      </c>
      <c r="K9" s="16">
        <f t="shared" si="0"/>
        <v>123120.00000000001</v>
      </c>
    </row>
    <row r="10" spans="1:11" x14ac:dyDescent="0.25">
      <c r="A10" s="8">
        <v>1007</v>
      </c>
      <c r="B10" s="2" t="s">
        <v>112</v>
      </c>
      <c r="C10" s="9" t="s">
        <v>139</v>
      </c>
      <c r="D10" s="8">
        <f>COUNTIFS('Daily Entry'!A:A, A10, 'Daily Entry'!I:I, "Present")</f>
        <v>27</v>
      </c>
      <c r="E10" s="8">
        <f>COUNTIFS('Daily Entry'!A:A, A10, 'Daily Entry'!I:I, "Leave")</f>
        <v>4</v>
      </c>
      <c r="F10" s="8">
        <f>COUNTIFS('Daily Entry'!A:A, A10, 'Daily Entry'!I:I, "Absent")</f>
        <v>0</v>
      </c>
      <c r="G10" s="13">
        <f>IFERROR(SUMIF('Daily Entry'!A:A,A10,'Daily Entry'!G:G),0)</f>
        <v>8.9999999999999982</v>
      </c>
      <c r="H10" s="13">
        <f>IFERROR(SUMIF('Daily Entry'!A:A, A10, 'Daily Entry'!H:H), 0)</f>
        <v>3.2916666666666665</v>
      </c>
      <c r="I10" s="16">
        <f>(G10/TIME(1,0,0))*VLOOKUP(C10,'Pay Rate'!A:B,2,0)</f>
        <v>69119.999999999985</v>
      </c>
      <c r="J10" s="16">
        <f>(H10/TIME(1,0,0))*VLOOKUP(C10,'Pay Rate'!A:C,3,0)</f>
        <v>50560</v>
      </c>
      <c r="K10" s="16">
        <f t="shared" si="0"/>
        <v>119679.99999999999</v>
      </c>
    </row>
    <row r="11" spans="1:11" x14ac:dyDescent="0.25">
      <c r="A11" s="8">
        <v>1008</v>
      </c>
      <c r="B11" s="2" t="s">
        <v>113</v>
      </c>
      <c r="C11" s="9" t="s">
        <v>135</v>
      </c>
      <c r="D11" s="8">
        <f>COUNTIFS('Daily Entry'!A:A, A11, 'Daily Entry'!I:I, "Present")</f>
        <v>31</v>
      </c>
      <c r="E11" s="8">
        <f>COUNTIFS('Daily Entry'!A:A, A11, 'Daily Entry'!I:I, "Leave")</f>
        <v>0</v>
      </c>
      <c r="F11" s="8">
        <f>COUNTIFS('Daily Entry'!A:A, A11, 'Daily Entry'!I:I, "Absent")</f>
        <v>0</v>
      </c>
      <c r="G11" s="13">
        <f>IFERROR(SUMIF('Daily Entry'!A:A,A11,'Daily Entry'!G:G),0)</f>
        <v>10.333333333333334</v>
      </c>
      <c r="H11" s="13">
        <f>IFERROR(SUMIF('Daily Entry'!A:A, A11, 'Daily Entry'!H:H), 0)</f>
        <v>4.041666666666667</v>
      </c>
      <c r="I11" s="16">
        <f>(G11/TIME(1,0,0))*VLOOKUP(C11,'Pay Rate'!A:B,2,0)</f>
        <v>74400.000000000015</v>
      </c>
      <c r="J11" s="16">
        <f>(H11/TIME(1,0,0))*VLOOKUP(C11,'Pay Rate'!A:C,3,0)</f>
        <v>58200.000000000007</v>
      </c>
      <c r="K11" s="16">
        <f t="shared" si="0"/>
        <v>132600.00000000003</v>
      </c>
    </row>
    <row r="12" spans="1:11" x14ac:dyDescent="0.25">
      <c r="A12" s="8">
        <v>1009</v>
      </c>
      <c r="B12" s="2" t="s">
        <v>114</v>
      </c>
      <c r="C12" s="9" t="s">
        <v>135</v>
      </c>
      <c r="D12" s="8">
        <f>COUNTIFS('Daily Entry'!A:A, A12, 'Daily Entry'!I:I, "Present")</f>
        <v>24</v>
      </c>
      <c r="E12" s="8">
        <f>COUNTIFS('Daily Entry'!A:A, A12, 'Daily Entry'!I:I, "Leave")</f>
        <v>4</v>
      </c>
      <c r="F12" s="8">
        <f>COUNTIFS('Daily Entry'!A:A, A12, 'Daily Entry'!I:I, "Absent")</f>
        <v>3</v>
      </c>
      <c r="G12" s="13">
        <f>IFERROR(SUMIF('Daily Entry'!A:A,A12,'Daily Entry'!G:G),0)</f>
        <v>8.9999999999999982</v>
      </c>
      <c r="H12" s="13">
        <f>IFERROR(SUMIF('Daily Entry'!A:A, A12, 'Daily Entry'!H:H), 0)</f>
        <v>3.0000000000000004</v>
      </c>
      <c r="I12" s="16">
        <f>(G12/TIME(1,0,0))*VLOOKUP(C12,'Pay Rate'!A:B,2,0)</f>
        <v>64799.999999999993</v>
      </c>
      <c r="J12" s="16">
        <f>(H12/TIME(1,0,0))*VLOOKUP(C12,'Pay Rate'!A:C,3,0)</f>
        <v>43200.000000000007</v>
      </c>
      <c r="K12" s="16">
        <f t="shared" si="0"/>
        <v>108000</v>
      </c>
    </row>
    <row r="13" spans="1:11" x14ac:dyDescent="0.25">
      <c r="A13" s="8">
        <v>1010</v>
      </c>
      <c r="B13" s="2" t="s">
        <v>115</v>
      </c>
      <c r="C13" s="9" t="s">
        <v>136</v>
      </c>
      <c r="D13" s="8">
        <f>COUNTIFS('Daily Entry'!A:A, A13, 'Daily Entry'!I:I, "Present")</f>
        <v>28</v>
      </c>
      <c r="E13" s="8">
        <f>COUNTIFS('Daily Entry'!A:A, A13, 'Daily Entry'!I:I, "Leave")</f>
        <v>2</v>
      </c>
      <c r="F13" s="8">
        <f>COUNTIFS('Daily Entry'!A:A, A13, 'Daily Entry'!I:I, "Absent")</f>
        <v>1</v>
      </c>
      <c r="G13" s="13">
        <f>IFERROR(SUMIF('Daily Entry'!A:A,A13,'Daily Entry'!G:G),0)</f>
        <v>9.6666666666666661</v>
      </c>
      <c r="H13" s="13">
        <f>IFERROR(SUMIF('Daily Entry'!A:A, A13, 'Daily Entry'!H:H), 0)</f>
        <v>3.583333333333333</v>
      </c>
      <c r="I13" s="16">
        <f>(G13/TIME(1,0,0))*VLOOKUP(C13,'Pay Rate'!A:B,2,0)</f>
        <v>92800</v>
      </c>
      <c r="J13" s="16">
        <f>(H13/TIME(1,0,0))*VLOOKUP(C13,'Pay Rate'!A:C,3,0)</f>
        <v>68800</v>
      </c>
      <c r="K13" s="16">
        <f t="shared" si="0"/>
        <v>161600</v>
      </c>
    </row>
    <row r="14" spans="1:11" x14ac:dyDescent="0.25">
      <c r="A14" s="8">
        <v>1011</v>
      </c>
      <c r="B14" s="2" t="s">
        <v>116</v>
      </c>
      <c r="C14" s="9" t="s">
        <v>136</v>
      </c>
      <c r="D14" s="8">
        <f>COUNTIFS('Daily Entry'!A:A, A14, 'Daily Entry'!I:I, "Present")</f>
        <v>31</v>
      </c>
      <c r="E14" s="8">
        <f>COUNTIFS('Daily Entry'!A:A, A14, 'Daily Entry'!I:I, "Leave")</f>
        <v>0</v>
      </c>
      <c r="F14" s="8">
        <f>COUNTIFS('Daily Entry'!A:A, A14, 'Daily Entry'!I:I, "Absent")</f>
        <v>0</v>
      </c>
      <c r="G14" s="13">
        <f>IFERROR(SUMIF('Daily Entry'!A:A,A14,'Daily Entry'!G:G),0)</f>
        <v>10.333333333333334</v>
      </c>
      <c r="H14" s="13">
        <f>IFERROR(SUMIF('Daily Entry'!A:A, A14, 'Daily Entry'!H:H), 0)</f>
        <v>3.8749999999999996</v>
      </c>
      <c r="I14" s="16">
        <f>(G14/TIME(1,0,0))*VLOOKUP(C14,'Pay Rate'!A:B,2,0)</f>
        <v>99200.000000000015</v>
      </c>
      <c r="J14" s="16">
        <f>(H14/TIME(1,0,0))*VLOOKUP(C14,'Pay Rate'!A:C,3,0)</f>
        <v>74400</v>
      </c>
      <c r="K14" s="16">
        <f t="shared" si="0"/>
        <v>173600</v>
      </c>
    </row>
    <row r="15" spans="1:11" x14ac:dyDescent="0.25">
      <c r="A15" s="8">
        <v>1012</v>
      </c>
      <c r="B15" s="2" t="s">
        <v>117</v>
      </c>
      <c r="C15" s="9" t="s">
        <v>137</v>
      </c>
      <c r="D15" s="8">
        <f>COUNTIFS('Daily Entry'!A:A, A15, 'Daily Entry'!I:I, "Present")</f>
        <v>29</v>
      </c>
      <c r="E15" s="8">
        <f>COUNTIFS('Daily Entry'!A:A, A15, 'Daily Entry'!I:I, "Leave")</f>
        <v>0</v>
      </c>
      <c r="F15" s="8">
        <f>COUNTIFS('Daily Entry'!A:A, A15, 'Daily Entry'!I:I, "Absent")</f>
        <v>2</v>
      </c>
      <c r="G15" s="13">
        <f>IFERROR(SUMIF('Daily Entry'!A:A,A15,'Daily Entry'!G:G),0)</f>
        <v>10.333333333333334</v>
      </c>
      <c r="H15" s="13">
        <f>IFERROR(SUMIF('Daily Entry'!A:A, A15, 'Daily Entry'!H:H), 0)</f>
        <v>3.708333333333333</v>
      </c>
      <c r="I15" s="16">
        <f>(G15/TIME(1,0,0))*VLOOKUP(C15,'Pay Rate'!A:B,2,0)</f>
        <v>91760.000000000015</v>
      </c>
      <c r="J15" s="16">
        <f>(H15/TIME(1,0,0))*VLOOKUP(C15,'Pay Rate'!A:C,3,0)</f>
        <v>65860</v>
      </c>
      <c r="K15" s="16">
        <f t="shared" si="0"/>
        <v>157620</v>
      </c>
    </row>
    <row r="16" spans="1:11" x14ac:dyDescent="0.25">
      <c r="A16" s="8">
        <v>1013</v>
      </c>
      <c r="B16" s="2" t="s">
        <v>118</v>
      </c>
      <c r="C16" s="9" t="s">
        <v>137</v>
      </c>
      <c r="D16" s="8">
        <f>COUNTIFS('Daily Entry'!A:A, A16, 'Daily Entry'!I:I, "Present")</f>
        <v>30</v>
      </c>
      <c r="E16" s="8">
        <f>COUNTIFS('Daily Entry'!A:A, A16, 'Daily Entry'!I:I, "Leave")</f>
        <v>1</v>
      </c>
      <c r="F16" s="8">
        <f>COUNTIFS('Daily Entry'!A:A, A16, 'Daily Entry'!I:I, "Absent")</f>
        <v>0</v>
      </c>
      <c r="G16" s="13">
        <f>IFERROR(SUMIF('Daily Entry'!A:A,A16,'Daily Entry'!G:G),0)</f>
        <v>10</v>
      </c>
      <c r="H16" s="13">
        <f>IFERROR(SUMIF('Daily Entry'!A:A, A16, 'Daily Entry'!H:H), 0)</f>
        <v>3.8749999999999996</v>
      </c>
      <c r="I16" s="16">
        <f>(G16/TIME(1,0,0))*VLOOKUP(C16,'Pay Rate'!A:B,2,0)</f>
        <v>88800</v>
      </c>
      <c r="J16" s="16">
        <f>(H16/TIME(1,0,0))*VLOOKUP(C16,'Pay Rate'!A:C,3,0)</f>
        <v>68820</v>
      </c>
      <c r="K16" s="16">
        <f t="shared" si="0"/>
        <v>157620</v>
      </c>
    </row>
    <row r="17" spans="1:11" x14ac:dyDescent="0.25">
      <c r="A17" s="8">
        <v>1014</v>
      </c>
      <c r="B17" s="2" t="s">
        <v>119</v>
      </c>
      <c r="C17" s="9" t="s">
        <v>137</v>
      </c>
      <c r="D17" s="8">
        <f>COUNTIFS('Daily Entry'!A:A, A17, 'Daily Entry'!I:I, "Present")</f>
        <v>31</v>
      </c>
      <c r="E17" s="8">
        <f>COUNTIFS('Daily Entry'!A:A, A17, 'Daily Entry'!I:I, "Leave")</f>
        <v>0</v>
      </c>
      <c r="F17" s="8">
        <f>COUNTIFS('Daily Entry'!A:A, A17, 'Daily Entry'!I:I, "Absent")</f>
        <v>0</v>
      </c>
      <c r="G17" s="13">
        <f>IFERROR(SUMIF('Daily Entry'!A:A,A17,'Daily Entry'!G:G),0)</f>
        <v>10.333333333333334</v>
      </c>
      <c r="H17" s="13">
        <f>IFERROR(SUMIF('Daily Entry'!A:A, A17, 'Daily Entry'!H:H), 0)</f>
        <v>4</v>
      </c>
      <c r="I17" s="16">
        <f>(G17/TIME(1,0,0))*VLOOKUP(C17,'Pay Rate'!A:B,2,0)</f>
        <v>91760.000000000015</v>
      </c>
      <c r="J17" s="16">
        <f>(H17/TIME(1,0,0))*VLOOKUP(C17,'Pay Rate'!A:C,3,0)</f>
        <v>71040</v>
      </c>
      <c r="K17" s="16">
        <f t="shared" si="0"/>
        <v>162800</v>
      </c>
    </row>
    <row r="18" spans="1:11" x14ac:dyDescent="0.25">
      <c r="A18" s="8">
        <v>1015</v>
      </c>
      <c r="B18" s="2" t="s">
        <v>120</v>
      </c>
      <c r="C18" s="9" t="s">
        <v>138</v>
      </c>
      <c r="D18" s="8">
        <f>COUNTIFS('Daily Entry'!A:A, A18, 'Daily Entry'!I:I, "Present")</f>
        <v>27</v>
      </c>
      <c r="E18" s="8">
        <f>COUNTIFS('Daily Entry'!A:A, A18, 'Daily Entry'!I:I, "Leave")</f>
        <v>4</v>
      </c>
      <c r="F18" s="8">
        <f>COUNTIFS('Daily Entry'!A:A, A18, 'Daily Entry'!I:I, "Absent")</f>
        <v>0</v>
      </c>
      <c r="G18" s="13">
        <f>IFERROR(SUMIF('Daily Entry'!A:A,A18,'Daily Entry'!G:G),0)</f>
        <v>8.9999999999999982</v>
      </c>
      <c r="H18" s="13">
        <f>IFERROR(SUMIF('Daily Entry'!A:A, A18, 'Daily Entry'!H:H), 0)</f>
        <v>3.2916666666666665</v>
      </c>
      <c r="I18" s="16">
        <f>(G18/TIME(1,0,0))*VLOOKUP(C18,'Pay Rate'!A:B,2,0)</f>
        <v>58319.999999999993</v>
      </c>
      <c r="J18" s="16">
        <f>(H18/TIME(1,0,0))*VLOOKUP(C18,'Pay Rate'!A:C,3,0)</f>
        <v>42660</v>
      </c>
      <c r="K18" s="16">
        <f t="shared" si="0"/>
        <v>100980</v>
      </c>
    </row>
    <row r="19" spans="1:11" x14ac:dyDescent="0.25">
      <c r="A19" s="8">
        <v>1016</v>
      </c>
      <c r="B19" s="2" t="s">
        <v>121</v>
      </c>
      <c r="C19" s="9" t="s">
        <v>138</v>
      </c>
      <c r="D19" s="8">
        <f>COUNTIFS('Daily Entry'!A:A, A19, 'Daily Entry'!I:I, "Present")</f>
        <v>31</v>
      </c>
      <c r="E19" s="8">
        <f>COUNTIFS('Daily Entry'!A:A, A19, 'Daily Entry'!I:I, "Leave")</f>
        <v>0</v>
      </c>
      <c r="F19" s="8">
        <f>COUNTIFS('Daily Entry'!A:A, A19, 'Daily Entry'!I:I, "Absent")</f>
        <v>0</v>
      </c>
      <c r="G19" s="13">
        <f>IFERROR(SUMIF('Daily Entry'!A:A,A19,'Daily Entry'!G:G),0)</f>
        <v>10.333333333333334</v>
      </c>
      <c r="H19" s="13">
        <f>IFERROR(SUMIF('Daily Entry'!A:A, A19, 'Daily Entry'!H:H), 0)</f>
        <v>3.9166666666666656</v>
      </c>
      <c r="I19" s="16">
        <f>(G19/TIME(1,0,0))*VLOOKUP(C19,'Pay Rate'!A:B,2,0)</f>
        <v>66960.000000000015</v>
      </c>
      <c r="J19" s="16">
        <f>(H19/TIME(1,0,0))*VLOOKUP(C19,'Pay Rate'!A:C,3,0)</f>
        <v>50759.999999999993</v>
      </c>
      <c r="K19" s="16">
        <f t="shared" si="0"/>
        <v>117720</v>
      </c>
    </row>
    <row r="20" spans="1:11" x14ac:dyDescent="0.25">
      <c r="A20" s="8">
        <v>1017</v>
      </c>
      <c r="B20" s="2" t="s">
        <v>122</v>
      </c>
      <c r="C20" s="9" t="s">
        <v>138</v>
      </c>
      <c r="D20" s="8">
        <f>COUNTIFS('Daily Entry'!A:A, A20, 'Daily Entry'!I:I, "Present")</f>
        <v>24</v>
      </c>
      <c r="E20" s="8">
        <f>COUNTIFS('Daily Entry'!A:A, A20, 'Daily Entry'!I:I, "Leave")</f>
        <v>4</v>
      </c>
      <c r="F20" s="8">
        <f>COUNTIFS('Daily Entry'!A:A, A20, 'Daily Entry'!I:I, "Absent")</f>
        <v>3</v>
      </c>
      <c r="G20" s="13">
        <f>IFERROR(SUMIF('Daily Entry'!A:A,A20,'Daily Entry'!G:G),0)</f>
        <v>8.9999999999999982</v>
      </c>
      <c r="H20" s="13">
        <f>IFERROR(SUMIF('Daily Entry'!A:A, A20, 'Daily Entry'!H:H), 0)</f>
        <v>2.8333333333333339</v>
      </c>
      <c r="I20" s="16">
        <f>(G20/TIME(1,0,0))*VLOOKUP(C20,'Pay Rate'!A:B,2,0)</f>
        <v>58319.999999999993</v>
      </c>
      <c r="J20" s="16">
        <f>(H20/TIME(1,0,0))*VLOOKUP(C20,'Pay Rate'!A:C,3,0)</f>
        <v>36720.000000000007</v>
      </c>
      <c r="K20" s="16">
        <f t="shared" si="0"/>
        <v>95040</v>
      </c>
    </row>
    <row r="21" spans="1:11" x14ac:dyDescent="0.25">
      <c r="A21" s="8">
        <v>1018</v>
      </c>
      <c r="B21" s="2" t="s">
        <v>123</v>
      </c>
      <c r="C21" s="9" t="s">
        <v>139</v>
      </c>
      <c r="D21" s="8">
        <f>COUNTIFS('Daily Entry'!A:A, A21, 'Daily Entry'!I:I, "Present")</f>
        <v>28</v>
      </c>
      <c r="E21" s="8">
        <f>COUNTIFS('Daily Entry'!A:A, A21, 'Daily Entry'!I:I, "Leave")</f>
        <v>2</v>
      </c>
      <c r="F21" s="8">
        <f>COUNTIFS('Daily Entry'!A:A, A21, 'Daily Entry'!I:I, "Absent")</f>
        <v>1</v>
      </c>
      <c r="G21" s="13">
        <f>IFERROR(SUMIF('Daily Entry'!A:A,A21,'Daily Entry'!G:G),0)</f>
        <v>9.6666666666666661</v>
      </c>
      <c r="H21" s="13">
        <f>IFERROR(SUMIF('Daily Entry'!A:A, A21, 'Daily Entry'!H:H), 0)</f>
        <v>3.625</v>
      </c>
      <c r="I21" s="16">
        <f>(G21/TIME(1,0,0))*VLOOKUP(C21,'Pay Rate'!A:B,2,0)</f>
        <v>74240</v>
      </c>
      <c r="J21" s="16">
        <f>(H21/TIME(1,0,0))*VLOOKUP(C21,'Pay Rate'!A:C,3,0)</f>
        <v>55680</v>
      </c>
      <c r="K21" s="16">
        <f t="shared" si="0"/>
        <v>129920</v>
      </c>
    </row>
    <row r="22" spans="1:11" x14ac:dyDescent="0.25">
      <c r="A22" s="8">
        <v>1019</v>
      </c>
      <c r="B22" s="2" t="s">
        <v>124</v>
      </c>
      <c r="C22" s="9" t="s">
        <v>139</v>
      </c>
      <c r="D22" s="8">
        <f>COUNTIFS('Daily Entry'!A:A, A22, 'Daily Entry'!I:I, "Present")</f>
        <v>31</v>
      </c>
      <c r="E22" s="8">
        <f>COUNTIFS('Daily Entry'!A:A, A22, 'Daily Entry'!I:I, "Leave")</f>
        <v>0</v>
      </c>
      <c r="F22" s="8">
        <f>COUNTIFS('Daily Entry'!A:A, A22, 'Daily Entry'!I:I, "Absent")</f>
        <v>0</v>
      </c>
      <c r="G22" s="13">
        <f>IFERROR(SUMIF('Daily Entry'!A:A,A22,'Daily Entry'!G:G),0)</f>
        <v>10.333333333333334</v>
      </c>
      <c r="H22" s="13">
        <f>IFERROR(SUMIF('Daily Entry'!A:A, A22, 'Daily Entry'!H:H), 0)</f>
        <v>3.8333333333333335</v>
      </c>
      <c r="I22" s="16">
        <f>(G22/TIME(1,0,0))*VLOOKUP(C22,'Pay Rate'!A:B,2,0)</f>
        <v>79360.000000000015</v>
      </c>
      <c r="J22" s="16">
        <f>(H22/TIME(1,0,0))*VLOOKUP(C22,'Pay Rate'!A:C,3,0)</f>
        <v>58880.000000000007</v>
      </c>
      <c r="K22" s="16">
        <f t="shared" si="0"/>
        <v>138240.00000000003</v>
      </c>
    </row>
    <row r="23" spans="1:11" x14ac:dyDescent="0.25">
      <c r="A23" s="8">
        <v>1020</v>
      </c>
      <c r="B23" s="2" t="s">
        <v>125</v>
      </c>
      <c r="C23" s="9" t="s">
        <v>139</v>
      </c>
      <c r="D23" s="8">
        <f>COUNTIFS('Daily Entry'!A:A, A23, 'Daily Entry'!I:I, "Present")</f>
        <v>29</v>
      </c>
      <c r="E23" s="8">
        <f>COUNTIFS('Daily Entry'!A:A, A23, 'Daily Entry'!I:I, "Leave")</f>
        <v>0</v>
      </c>
      <c r="F23" s="8">
        <f>COUNTIFS('Daily Entry'!A:A, A23, 'Daily Entry'!I:I, "Absent")</f>
        <v>2</v>
      </c>
      <c r="G23" s="13">
        <f>IFERROR(SUMIF('Daily Entry'!A:A,A23,'Daily Entry'!G:G),0)</f>
        <v>10.333333333333334</v>
      </c>
      <c r="H23" s="13">
        <f>IFERROR(SUMIF('Daily Entry'!A:A, A23, 'Daily Entry'!H:H), 0)</f>
        <v>3.6249999999999996</v>
      </c>
      <c r="I23" s="16">
        <f>(G23/TIME(1,0,0))*VLOOKUP(C23,'Pay Rate'!A:B,2,0)</f>
        <v>79360.000000000015</v>
      </c>
      <c r="J23" s="16">
        <f>(H23/TIME(1,0,0))*VLOOKUP(C23,'Pay Rate'!A:C,3,0)</f>
        <v>55680</v>
      </c>
      <c r="K23" s="16">
        <f t="shared" si="0"/>
        <v>135040</v>
      </c>
    </row>
    <row r="24" spans="1:11" x14ac:dyDescent="0.25">
      <c r="A24" s="8">
        <v>1021</v>
      </c>
      <c r="B24" s="2" t="s">
        <v>126</v>
      </c>
      <c r="C24" s="9" t="s">
        <v>135</v>
      </c>
      <c r="D24" s="8">
        <f>COUNTIFS('Daily Entry'!A:A, A24, 'Daily Entry'!I:I, "Present")</f>
        <v>30</v>
      </c>
      <c r="E24" s="8">
        <f>COUNTIFS('Daily Entry'!A:A, A24, 'Daily Entry'!I:I, "Leave")</f>
        <v>1</v>
      </c>
      <c r="F24" s="8">
        <f>COUNTIFS('Daily Entry'!A:A, A24, 'Daily Entry'!I:I, "Absent")</f>
        <v>0</v>
      </c>
      <c r="G24" s="13">
        <f>IFERROR(SUMIF('Daily Entry'!A:A,A24,'Daily Entry'!G:G),0)</f>
        <v>10</v>
      </c>
      <c r="H24" s="13">
        <f>IFERROR(SUMIF('Daily Entry'!A:A, A24, 'Daily Entry'!H:H), 0)</f>
        <v>3.7499999999999996</v>
      </c>
      <c r="I24" s="16">
        <f>(G24/TIME(1,0,0))*VLOOKUP(C24,'Pay Rate'!A:B,2,0)</f>
        <v>72000</v>
      </c>
      <c r="J24" s="16">
        <f>(H24/TIME(1,0,0))*VLOOKUP(C24,'Pay Rate'!A:C,3,0)</f>
        <v>54000</v>
      </c>
      <c r="K24" s="16">
        <f t="shared" si="0"/>
        <v>126000</v>
      </c>
    </row>
    <row r="25" spans="1:11" x14ac:dyDescent="0.25">
      <c r="A25" s="8">
        <v>1022</v>
      </c>
      <c r="B25" s="2" t="s">
        <v>127</v>
      </c>
      <c r="C25" s="9" t="s">
        <v>136</v>
      </c>
      <c r="D25" s="8">
        <f>COUNTIFS('Daily Entry'!A:A, A25, 'Daily Entry'!I:I, "Present")</f>
        <v>31</v>
      </c>
      <c r="E25" s="8">
        <f>COUNTIFS('Daily Entry'!A:A, A25, 'Daily Entry'!I:I, "Leave")</f>
        <v>0</v>
      </c>
      <c r="F25" s="8">
        <f>COUNTIFS('Daily Entry'!A:A, A25, 'Daily Entry'!I:I, "Absent")</f>
        <v>0</v>
      </c>
      <c r="G25" s="13">
        <f>IFERROR(SUMIF('Daily Entry'!A:A,A25,'Daily Entry'!G:G),0)</f>
        <v>10.333333333333334</v>
      </c>
      <c r="H25" s="13">
        <f>IFERROR(SUMIF('Daily Entry'!A:A, A25, 'Daily Entry'!H:H), 0)</f>
        <v>3.7083333333333335</v>
      </c>
      <c r="I25" s="16">
        <f>(G25/TIME(1,0,0))*VLOOKUP(C25,'Pay Rate'!A:B,2,0)</f>
        <v>99200.000000000015</v>
      </c>
      <c r="J25" s="16">
        <f>(H25/TIME(1,0,0))*VLOOKUP(C25,'Pay Rate'!A:C,3,0)</f>
        <v>71200.000000000015</v>
      </c>
      <c r="K25" s="16">
        <f t="shared" si="0"/>
        <v>170400.00000000003</v>
      </c>
    </row>
    <row r="26" spans="1:11" x14ac:dyDescent="0.25">
      <c r="A26" s="8">
        <v>1023</v>
      </c>
      <c r="B26" s="2" t="s">
        <v>128</v>
      </c>
      <c r="C26" s="9" t="s">
        <v>137</v>
      </c>
      <c r="D26" s="8">
        <f>COUNTIFS('Daily Entry'!A:A, A26, 'Daily Entry'!I:I, "Present")</f>
        <v>27</v>
      </c>
      <c r="E26" s="8">
        <f>COUNTIFS('Daily Entry'!A:A, A26, 'Daily Entry'!I:I, "Leave")</f>
        <v>4</v>
      </c>
      <c r="F26" s="8">
        <f>COUNTIFS('Daily Entry'!A:A, A26, 'Daily Entry'!I:I, "Absent")</f>
        <v>0</v>
      </c>
      <c r="G26" s="13">
        <f>IFERROR(SUMIF('Daily Entry'!A:A,A26,'Daily Entry'!G:G),0)</f>
        <v>8.9999999999999982</v>
      </c>
      <c r="H26" s="13">
        <f>IFERROR(SUMIF('Daily Entry'!A:A, A26, 'Daily Entry'!H:H), 0)</f>
        <v>3.3333333333333335</v>
      </c>
      <c r="I26" s="16">
        <f>(G26/TIME(1,0,0))*VLOOKUP(C26,'Pay Rate'!A:B,2,0)</f>
        <v>79919.999999999985</v>
      </c>
      <c r="J26" s="16">
        <f>(H26/TIME(1,0,0))*VLOOKUP(C26,'Pay Rate'!A:C,3,0)</f>
        <v>59200.000000000007</v>
      </c>
      <c r="K26" s="16">
        <f t="shared" si="0"/>
        <v>139120</v>
      </c>
    </row>
    <row r="27" spans="1:11" x14ac:dyDescent="0.25">
      <c r="A27" s="8">
        <v>1024</v>
      </c>
      <c r="B27" s="2" t="s">
        <v>129</v>
      </c>
      <c r="C27" s="9" t="s">
        <v>138</v>
      </c>
      <c r="D27" s="8">
        <f>COUNTIFS('Daily Entry'!A:A, A27, 'Daily Entry'!I:I, "Present")</f>
        <v>31</v>
      </c>
      <c r="E27" s="8">
        <f>COUNTIFS('Daily Entry'!A:A, A27, 'Daily Entry'!I:I, "Leave")</f>
        <v>0</v>
      </c>
      <c r="F27" s="8">
        <f>COUNTIFS('Daily Entry'!A:A, A27, 'Daily Entry'!I:I, "Absent")</f>
        <v>0</v>
      </c>
      <c r="G27" s="13">
        <f>IFERROR(SUMIF('Daily Entry'!A:A,A27,'Daily Entry'!G:G),0)</f>
        <v>10.333333333333334</v>
      </c>
      <c r="H27" s="13">
        <f>IFERROR(SUMIF('Daily Entry'!A:A, A27, 'Daily Entry'!H:H), 0)</f>
        <v>3.791666666666667</v>
      </c>
      <c r="I27" s="16">
        <f>(G27/TIME(1,0,0))*VLOOKUP(C27,'Pay Rate'!A:B,2,0)</f>
        <v>66960.000000000015</v>
      </c>
      <c r="J27" s="16">
        <f>(H27/TIME(1,0,0))*VLOOKUP(C27,'Pay Rate'!A:C,3,0)</f>
        <v>49140.000000000007</v>
      </c>
      <c r="K27" s="16">
        <f t="shared" si="0"/>
        <v>116100.00000000003</v>
      </c>
    </row>
    <row r="28" spans="1:11" x14ac:dyDescent="0.25">
      <c r="A28" s="8">
        <v>1025</v>
      </c>
      <c r="B28" s="2" t="s">
        <v>130</v>
      </c>
      <c r="C28" s="9" t="s">
        <v>139</v>
      </c>
      <c r="D28" s="8">
        <f>COUNTIFS('Daily Entry'!A:A, A28, 'Daily Entry'!I:I, "Present")</f>
        <v>24</v>
      </c>
      <c r="E28" s="8">
        <f>COUNTIFS('Daily Entry'!A:A, A28, 'Daily Entry'!I:I, "Leave")</f>
        <v>4</v>
      </c>
      <c r="F28" s="8">
        <f>COUNTIFS('Daily Entry'!A:A, A28, 'Daily Entry'!I:I, "Absent")</f>
        <v>3</v>
      </c>
      <c r="G28" s="13">
        <f>IFERROR(SUMIF('Daily Entry'!A:A,A28,'Daily Entry'!G:G),0)</f>
        <v>8.9999999999999982</v>
      </c>
      <c r="H28" s="13">
        <f>IFERROR(SUMIF('Daily Entry'!A:A, A28, 'Daily Entry'!H:H), 0)</f>
        <v>3.0000000000000004</v>
      </c>
      <c r="I28" s="16">
        <f>(G28/TIME(1,0,0))*VLOOKUP(C28,'Pay Rate'!A:B,2,0)</f>
        <v>69119.999999999985</v>
      </c>
      <c r="J28" s="16">
        <f>(H28/TIME(1,0,0))*VLOOKUP(C28,'Pay Rate'!A:C,3,0)</f>
        <v>46080.000000000007</v>
      </c>
      <c r="K28" s="16">
        <f t="shared" si="0"/>
        <v>115200</v>
      </c>
    </row>
    <row r="29" spans="1:11" x14ac:dyDescent="0.25">
      <c r="A29" s="8">
        <v>1026</v>
      </c>
      <c r="B29" s="2" t="s">
        <v>131</v>
      </c>
      <c r="C29" s="9" t="s">
        <v>135</v>
      </c>
      <c r="D29" s="8">
        <f>COUNTIFS('Daily Entry'!A:A, A29, 'Daily Entry'!I:I, "Present")</f>
        <v>28</v>
      </c>
      <c r="E29" s="8">
        <f>COUNTIFS('Daily Entry'!A:A, A29, 'Daily Entry'!I:I, "Leave")</f>
        <v>2</v>
      </c>
      <c r="F29" s="8">
        <f>COUNTIFS('Daily Entry'!A:A, A29, 'Daily Entry'!I:I, "Absent")</f>
        <v>1</v>
      </c>
      <c r="G29" s="13">
        <f>IFERROR(SUMIF('Daily Entry'!A:A,A29,'Daily Entry'!G:G),0)</f>
        <v>9.6666666666666661</v>
      </c>
      <c r="H29" s="13">
        <f>IFERROR(SUMIF('Daily Entry'!A:A, A29, 'Daily Entry'!H:H), 0)</f>
        <v>3.3750000000000004</v>
      </c>
      <c r="I29" s="16">
        <f>(G29/TIME(1,0,0))*VLOOKUP(C29,'Pay Rate'!A:B,2,0)</f>
        <v>69600</v>
      </c>
      <c r="J29" s="16">
        <f>(H29/TIME(1,0,0))*VLOOKUP(C29,'Pay Rate'!A:C,3,0)</f>
        <v>48600.000000000007</v>
      </c>
      <c r="K29" s="16">
        <f t="shared" si="0"/>
        <v>118200</v>
      </c>
    </row>
    <row r="30" spans="1:11" x14ac:dyDescent="0.25">
      <c r="A30" s="8">
        <v>1027</v>
      </c>
      <c r="B30" s="2" t="s">
        <v>132</v>
      </c>
      <c r="C30" s="9" t="s">
        <v>136</v>
      </c>
      <c r="D30" s="8">
        <f>COUNTIFS('Daily Entry'!A:A, A30, 'Daily Entry'!I:I, "Present")</f>
        <v>31</v>
      </c>
      <c r="E30" s="8">
        <f>COUNTIFS('Daily Entry'!A:A, A30, 'Daily Entry'!I:I, "Leave")</f>
        <v>0</v>
      </c>
      <c r="F30" s="8">
        <f>COUNTIFS('Daily Entry'!A:A, A30, 'Daily Entry'!I:I, "Absent")</f>
        <v>0</v>
      </c>
      <c r="G30" s="13">
        <f>IFERROR(SUMIF('Daily Entry'!A:A,A30,'Daily Entry'!G:G),0)</f>
        <v>10.333333333333334</v>
      </c>
      <c r="H30" s="13">
        <f>IFERROR(SUMIF('Daily Entry'!A:A, A30, 'Daily Entry'!H:H), 0)</f>
        <v>3.7083333333333335</v>
      </c>
      <c r="I30" s="16">
        <f>(G30/TIME(1,0,0))*VLOOKUP(C30,'Pay Rate'!A:B,2,0)</f>
        <v>99200.000000000015</v>
      </c>
      <c r="J30" s="16">
        <f>(H30/TIME(1,0,0))*VLOOKUP(C30,'Pay Rate'!A:C,3,0)</f>
        <v>71200.000000000015</v>
      </c>
      <c r="K30" s="16">
        <f t="shared" si="0"/>
        <v>170400.00000000003</v>
      </c>
    </row>
    <row r="31" spans="1:11" x14ac:dyDescent="0.25">
      <c r="A31" s="8">
        <v>1028</v>
      </c>
      <c r="B31" s="2" t="s">
        <v>133</v>
      </c>
      <c r="C31" s="9" t="s">
        <v>137</v>
      </c>
      <c r="D31" s="8">
        <f>COUNTIFS('Daily Entry'!A:A, A31, 'Daily Entry'!I:I, "Present")</f>
        <v>29</v>
      </c>
      <c r="E31" s="8">
        <f>COUNTIFS('Daily Entry'!A:A, A31, 'Daily Entry'!I:I, "Leave")</f>
        <v>0</v>
      </c>
      <c r="F31" s="8">
        <f>COUNTIFS('Daily Entry'!A:A, A31, 'Daily Entry'!I:I, "Absent")</f>
        <v>2</v>
      </c>
      <c r="G31" s="13">
        <f>IFERROR(SUMIF('Daily Entry'!A:A,A31,'Daily Entry'!G:G),0)</f>
        <v>10.333333333333334</v>
      </c>
      <c r="H31" s="13">
        <f>IFERROR(SUMIF('Daily Entry'!A:A, A31, 'Daily Entry'!H:H), 0)</f>
        <v>3.6249999999999996</v>
      </c>
      <c r="I31" s="16">
        <f>(G31/TIME(1,0,0))*VLOOKUP(C31,'Pay Rate'!A:B,2,0)</f>
        <v>91760.000000000015</v>
      </c>
      <c r="J31" s="16">
        <f>(H31/TIME(1,0,0))*VLOOKUP(C31,'Pay Rate'!A:C,3,0)</f>
        <v>64380</v>
      </c>
      <c r="K31" s="16">
        <f t="shared" si="0"/>
        <v>156140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48"/>
  <sheetViews>
    <sheetView zoomScaleNormal="100" workbookViewId="0"/>
  </sheetViews>
  <sheetFormatPr defaultColWidth="8.7109375" defaultRowHeight="15" x14ac:dyDescent="0.25"/>
  <sheetData>
    <row r="1" spans="1:3" x14ac:dyDescent="0.25">
      <c r="A1" t="s">
        <v>100</v>
      </c>
      <c r="B1" t="s">
        <v>101</v>
      </c>
      <c r="C1" t="s">
        <v>102</v>
      </c>
    </row>
    <row r="2" spans="1:3" x14ac:dyDescent="0.25">
      <c r="A2" t="s">
        <v>53</v>
      </c>
      <c r="B2" t="s">
        <v>5</v>
      </c>
      <c r="C2" t="s">
        <v>6</v>
      </c>
    </row>
    <row r="3" spans="1:3" x14ac:dyDescent="0.25">
      <c r="A3" t="s">
        <v>54</v>
      </c>
      <c r="B3" t="s">
        <v>10</v>
      </c>
      <c r="C3" t="s">
        <v>11</v>
      </c>
    </row>
    <row r="4" spans="1:3" x14ac:dyDescent="0.25">
      <c r="A4" t="s">
        <v>55</v>
      </c>
      <c r="B4" t="s">
        <v>12</v>
      </c>
      <c r="C4" t="s">
        <v>13</v>
      </c>
    </row>
    <row r="5" spans="1:3" x14ac:dyDescent="0.25">
      <c r="A5" t="s">
        <v>56</v>
      </c>
      <c r="B5" t="s">
        <v>14</v>
      </c>
      <c r="C5" t="s">
        <v>13</v>
      </c>
    </row>
    <row r="6" spans="1:3" x14ac:dyDescent="0.25">
      <c r="A6" t="s">
        <v>57</v>
      </c>
      <c r="B6" t="s">
        <v>15</v>
      </c>
      <c r="C6" t="s">
        <v>13</v>
      </c>
    </row>
    <row r="7" spans="1:3" x14ac:dyDescent="0.25">
      <c r="A7" t="s">
        <v>58</v>
      </c>
      <c r="B7" t="s">
        <v>16</v>
      </c>
      <c r="C7" t="s">
        <v>17</v>
      </c>
    </row>
    <row r="8" spans="1:3" x14ac:dyDescent="0.25">
      <c r="A8" t="s">
        <v>59</v>
      </c>
      <c r="B8" t="s">
        <v>18</v>
      </c>
      <c r="C8" t="s">
        <v>19</v>
      </c>
    </row>
    <row r="9" spans="1:3" x14ac:dyDescent="0.25">
      <c r="A9" t="s">
        <v>60</v>
      </c>
      <c r="B9" t="s">
        <v>20</v>
      </c>
      <c r="C9" t="s">
        <v>21</v>
      </c>
    </row>
    <row r="10" spans="1:3" x14ac:dyDescent="0.25">
      <c r="A10" t="s">
        <v>61</v>
      </c>
      <c r="B10" t="s">
        <v>22</v>
      </c>
      <c r="C10" t="s">
        <v>23</v>
      </c>
    </row>
    <row r="11" spans="1:3" x14ac:dyDescent="0.25">
      <c r="A11" t="s">
        <v>62</v>
      </c>
      <c r="B11" t="s">
        <v>24</v>
      </c>
      <c r="C11" t="s">
        <v>25</v>
      </c>
    </row>
    <row r="12" spans="1:3" x14ac:dyDescent="0.25">
      <c r="A12" t="s">
        <v>63</v>
      </c>
      <c r="B12" t="s">
        <v>26</v>
      </c>
      <c r="C12" t="s">
        <v>27</v>
      </c>
    </row>
    <row r="13" spans="1:3" x14ac:dyDescent="0.25">
      <c r="A13" t="s">
        <v>64</v>
      </c>
      <c r="B13" t="s">
        <v>28</v>
      </c>
      <c r="C13" t="s">
        <v>29</v>
      </c>
    </row>
    <row r="14" spans="1:3" x14ac:dyDescent="0.25">
      <c r="A14" t="s">
        <v>65</v>
      </c>
      <c r="B14" t="s">
        <v>30</v>
      </c>
      <c r="C14" t="s">
        <v>31</v>
      </c>
    </row>
    <row r="15" spans="1:3" x14ac:dyDescent="0.25">
      <c r="A15" t="s">
        <v>66</v>
      </c>
      <c r="B15" t="s">
        <v>32</v>
      </c>
    </row>
    <row r="16" spans="1:3" x14ac:dyDescent="0.25">
      <c r="A16" t="s">
        <v>67</v>
      </c>
      <c r="B16" t="s">
        <v>33</v>
      </c>
    </row>
    <row r="17" spans="1:2" x14ac:dyDescent="0.25">
      <c r="A17" t="s">
        <v>68</v>
      </c>
      <c r="B17" t="s">
        <v>34</v>
      </c>
    </row>
    <row r="18" spans="1:2" x14ac:dyDescent="0.25">
      <c r="A18" t="s">
        <v>69</v>
      </c>
      <c r="B18" t="s">
        <v>35</v>
      </c>
    </row>
    <row r="19" spans="1:2" x14ac:dyDescent="0.25">
      <c r="A19" t="s">
        <v>70</v>
      </c>
      <c r="B19" t="s">
        <v>36</v>
      </c>
    </row>
    <row r="20" spans="1:2" x14ac:dyDescent="0.25">
      <c r="A20" t="s">
        <v>71</v>
      </c>
      <c r="B20" t="s">
        <v>37</v>
      </c>
    </row>
    <row r="21" spans="1:2" x14ac:dyDescent="0.25">
      <c r="A21" t="s">
        <v>72</v>
      </c>
      <c r="B21" t="s">
        <v>38</v>
      </c>
    </row>
    <row r="22" spans="1:2" x14ac:dyDescent="0.25">
      <c r="A22" t="s">
        <v>73</v>
      </c>
      <c r="B22" t="s">
        <v>39</v>
      </c>
    </row>
    <row r="23" spans="1:2" x14ac:dyDescent="0.25">
      <c r="A23" t="s">
        <v>74</v>
      </c>
      <c r="B23" t="s">
        <v>40</v>
      </c>
    </row>
    <row r="24" spans="1:2" x14ac:dyDescent="0.25">
      <c r="A24" t="s">
        <v>75</v>
      </c>
    </row>
    <row r="25" spans="1:2" x14ac:dyDescent="0.25">
      <c r="A25" t="s">
        <v>76</v>
      </c>
    </row>
    <row r="26" spans="1:2" x14ac:dyDescent="0.25">
      <c r="A26" t="s">
        <v>77</v>
      </c>
    </row>
    <row r="27" spans="1:2" x14ac:dyDescent="0.25">
      <c r="A27" t="s">
        <v>78</v>
      </c>
    </row>
    <row r="28" spans="1:2" x14ac:dyDescent="0.25">
      <c r="A28" t="s">
        <v>79</v>
      </c>
    </row>
    <row r="29" spans="1:2" x14ac:dyDescent="0.25">
      <c r="A29" t="s">
        <v>80</v>
      </c>
    </row>
    <row r="30" spans="1:2" x14ac:dyDescent="0.25">
      <c r="A30" t="s">
        <v>81</v>
      </c>
    </row>
    <row r="31" spans="1:2" x14ac:dyDescent="0.25">
      <c r="A31" t="s">
        <v>82</v>
      </c>
    </row>
    <row r="32" spans="1:2" x14ac:dyDescent="0.25">
      <c r="A32" t="s">
        <v>83</v>
      </c>
    </row>
    <row r="33" spans="1:1" x14ac:dyDescent="0.25">
      <c r="A33" t="s">
        <v>84</v>
      </c>
    </row>
    <row r="34" spans="1:1" x14ac:dyDescent="0.25">
      <c r="A34" t="s">
        <v>85</v>
      </c>
    </row>
    <row r="35" spans="1:1" x14ac:dyDescent="0.25">
      <c r="A35" t="s">
        <v>86</v>
      </c>
    </row>
    <row r="36" spans="1:1" x14ac:dyDescent="0.25">
      <c r="A36" t="s">
        <v>87</v>
      </c>
    </row>
    <row r="37" spans="1:1" x14ac:dyDescent="0.25">
      <c r="A37" t="s">
        <v>88</v>
      </c>
    </row>
    <row r="38" spans="1:1" x14ac:dyDescent="0.25">
      <c r="A38" t="s">
        <v>89</v>
      </c>
    </row>
    <row r="39" spans="1:1" x14ac:dyDescent="0.25">
      <c r="A39" t="s">
        <v>90</v>
      </c>
    </row>
    <row r="40" spans="1:1" x14ac:dyDescent="0.25">
      <c r="A40" t="s">
        <v>91</v>
      </c>
    </row>
    <row r="41" spans="1:1" x14ac:dyDescent="0.25">
      <c r="A41" t="s">
        <v>92</v>
      </c>
    </row>
    <row r="42" spans="1:1" x14ac:dyDescent="0.25">
      <c r="A42" t="s">
        <v>93</v>
      </c>
    </row>
    <row r="43" spans="1:1" x14ac:dyDescent="0.25">
      <c r="A43" t="s">
        <v>94</v>
      </c>
    </row>
    <row r="44" spans="1:1" x14ac:dyDescent="0.25">
      <c r="A44" t="s">
        <v>95</v>
      </c>
    </row>
    <row r="45" spans="1:1" x14ac:dyDescent="0.25">
      <c r="A45" t="s">
        <v>96</v>
      </c>
    </row>
    <row r="46" spans="1:1" x14ac:dyDescent="0.25">
      <c r="A46" t="s">
        <v>97</v>
      </c>
    </row>
    <row r="47" spans="1:1" x14ac:dyDescent="0.25">
      <c r="A47" t="s">
        <v>98</v>
      </c>
    </row>
    <row r="48" spans="1:1" x14ac:dyDescent="0.25">
      <c r="A48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��d"d"
</file>

<file path=customXml/item12.xml>��
</file>

<file path=customXml/item13.xml>��
</file>

<file path=customXml/item14.xml>��d"
</file>

<file path=customXml/item15.xml>��d"d"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F00592A-7982-4571-9928-73B4ED0D0072}">
  <ds:schemaRefs/>
</ds:datastoreItem>
</file>

<file path=customXml/itemProps2.xml><?xml version="1.0" encoding="utf-8"?>
<ds:datastoreItem xmlns:ds="http://schemas.openxmlformats.org/officeDocument/2006/customXml" ds:itemID="{0BC39CC0-0941-401A-88D4-694D00001779}">
  <ds:schemaRefs/>
</ds:datastoreItem>
</file>

<file path=customXml/itemProps3.xml><?xml version="1.0" encoding="utf-8"?>
<ds:datastoreItem xmlns:ds="http://schemas.openxmlformats.org/officeDocument/2006/customXml" ds:itemID="{6011FAC2-F76B-4987-A486-0FF154C0129F}">
  <ds:schemaRefs/>
</ds:datastoreItem>
</file>

<file path=customXml/itemProps4.xml><?xml version="1.0" encoding="utf-8"?>
<ds:datastoreItem xmlns:ds="http://schemas.openxmlformats.org/officeDocument/2006/customXml" ds:itemID="{0480BE5D-8985-4313-8B15-4E08A08A0C4B}">
  <ds:schemaRefs/>
</ds:datastoreItem>
</file>

<file path=customXml/itemProps5.xml><?xml version="1.0" encoding="utf-8"?>
<ds:datastoreItem xmlns:ds="http://schemas.openxmlformats.org/officeDocument/2006/customXml" ds:itemID="{9867076A-BDC2-472E-9385-449174E69826}">
  <ds:schemaRefs/>
</ds:datastoreItem>
</file>

<file path=customXml/itemProps6.xml><?xml version="1.0" encoding="utf-8"?>
<ds:datastoreItem xmlns:ds="http://schemas.openxmlformats.org/officeDocument/2006/customXml" ds:itemID="{0A3E35C1-69F3-4914-8E7E-98E70A0EFD4A}">
  <ds:schemaRefs/>
</ds:datastoreItem>
</file>

<file path=customXml/itemProps7.xml><?xml version="1.0" encoding="utf-8"?>
<ds:datastoreItem xmlns:ds="http://schemas.openxmlformats.org/officeDocument/2006/customXml" ds:itemID="{9EEBB39A-EF45-42C3-B2DD-FEC71A7C7025}">
  <ds:schemaRefs/>
</ds:datastoreItem>
</file>

<file path=customXml/itemProps8.xml><?xml version="1.0" encoding="utf-8"?>
<ds:datastoreItem xmlns:ds="http://schemas.openxmlformats.org/officeDocument/2006/customXml" ds:itemID="{EEAE11F1-0ECB-4109-9E37-BC3FF6E228C9}">
  <ds:schemaRefs/>
</ds:datastoreItem>
</file>

<file path=customXml/itemProps9.xml><?xml version="1.0" encoding="utf-8"?>
<ds:datastoreItem xmlns:ds="http://schemas.openxmlformats.org/officeDocument/2006/customXml" ds:itemID="{A6FDD27F-FFA0-4CDE-902C-B2CFAC0D59C3}">
  <ds:schemaRefs/>
</ds:datastoreItem>
</file>

<file path=customXml/itemProps10.xml><?xml version="1.0" encoding="utf-8"?>
<ds:datastoreItem xmlns:ds="http://schemas.openxmlformats.org/officeDocument/2006/customXml" ds:itemID="{96706C5B-BC5C-40B4-BBAD-CBFDE1E5E343}">
  <ds:schemaRefs/>
</ds:datastoreItem>
</file>

<file path=customXml/itemProps11.xml><?xml version="1.0" encoding="utf-8"?>
<ds:datastoreItem xmlns:ds="http://schemas.openxmlformats.org/officeDocument/2006/customXml" ds:itemID="{3E7B3218-C6AE-4211-829D-76F55B05EB5F}">
  <ds:schemaRefs/>
</ds:datastoreItem>
</file>

<file path=customXml/itemProps12.xml><?xml version="1.0" encoding="utf-8"?>
<ds:datastoreItem xmlns:ds="http://schemas.openxmlformats.org/officeDocument/2006/customXml" ds:itemID="{F75F9CE4-593F-453C-B4CA-E5BB7CCE3105}">
  <ds:schemaRefs/>
</ds:datastoreItem>
</file>

<file path=customXml/itemProps13.xml><?xml version="1.0" encoding="utf-8"?>
<ds:datastoreItem xmlns:ds="http://schemas.openxmlformats.org/officeDocument/2006/customXml" ds:itemID="{22BE80F0-276E-4AFC-AEF6-7132BA0ED050}">
  <ds:schemaRefs/>
</ds:datastoreItem>
</file>

<file path=customXml/itemProps14.xml><?xml version="1.0" encoding="utf-8"?>
<ds:datastoreItem xmlns:ds="http://schemas.openxmlformats.org/officeDocument/2006/customXml" ds:itemID="{EEEFA576-87FA-4A70-9616-708F0E3F98C8}">
  <ds:schemaRefs/>
</ds:datastoreItem>
</file>

<file path=customXml/itemProps15.xml><?xml version="1.0" encoding="utf-8"?>
<ds:datastoreItem xmlns:ds="http://schemas.openxmlformats.org/officeDocument/2006/customXml" ds:itemID="{CB36FFC9-4025-44C6-9854-102981E2A287}">
  <ds:schemaRefs/>
</ds:datastoreItem>
</file>

<file path=customXml/itemProps16.xml><?xml version="1.0" encoding="utf-8"?>
<ds:datastoreItem xmlns:ds="http://schemas.openxmlformats.org/officeDocument/2006/customXml" ds:itemID="{442EE8CD-E278-463A-8D7F-5A5BF96BC55A}">
  <ds:schemaRefs/>
</ds:datastoreItem>
</file>

<file path=customXml/itemProps17.xml><?xml version="1.0" encoding="utf-8"?>
<ds:datastoreItem xmlns:ds="http://schemas.openxmlformats.org/officeDocument/2006/customXml" ds:itemID="{0AFC0A45-D21C-47A2-A230-2B2DB78D261A}">
  <ds:schemaRefs/>
</ds:datastoreItem>
</file>

<file path=customXml/itemProps18.xml><?xml version="1.0" encoding="utf-8"?>
<ds:datastoreItem xmlns:ds="http://schemas.openxmlformats.org/officeDocument/2006/customXml" ds:itemID="{8383A062-8B4B-49C4-AF4C-52F8FF841C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 Rate</vt:lpstr>
      <vt:lpstr>Attandance Tracker</vt:lpstr>
      <vt:lpstr>Daily Entry</vt:lpstr>
      <vt:lpstr>Monthly Summary</vt:lpstr>
      <vt:lpstr>EmpList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HP</cp:lastModifiedBy>
  <cp:revision>0</cp:revision>
  <dcterms:created xsi:type="dcterms:W3CDTF">2026-05-13T08:02:44Z</dcterms:created>
  <dcterms:modified xsi:type="dcterms:W3CDTF">2026-05-31T07:45:35Z</dcterms:modified>
  <cp:category/>
  <cp:contentStatus/>
</cp:coreProperties>
</file>